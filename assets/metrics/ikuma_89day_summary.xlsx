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9210442\Desktop\"/>
    </mc:Choice>
  </mc:AlternateContent>
  <xr:revisionPtr revIDLastSave="0" documentId="8_{53284239-7899-43E1-9222-428CC8ABEAC3}" xr6:coauthVersionLast="47" xr6:coauthVersionMax="47" xr10:uidLastSave="{00000000-0000-0000-0000-000000000000}"/>
  <bookViews>
    <workbookView xWindow="28680" yWindow="750" windowWidth="29040" windowHeight="15720" activeTab="11" xr2:uid="{00000000-000D-0000-FFFF-FFFF00000000}"/>
  </bookViews>
  <sheets>
    <sheet name="概要サマリー" sheetId="1" r:id="rId1"/>
    <sheet name="月別集計" sheetId="2" r:id="rId2"/>
    <sheet name="曜日別集計" sheetId="3" r:id="rId3"/>
    <sheet name="週次推移" sheetId="4" r:id="rId4"/>
    <sheet name="相関係数" sheetId="5" r:id="rId5"/>
    <sheet name="リールログ" sheetId="7" r:id="rId6"/>
    <sheet name="4月" sheetId="14" r:id="rId7"/>
    <sheet name="5月" sheetId="13" r:id="rId8"/>
    <sheet name="6月" sheetId="12" r:id="rId9"/>
    <sheet name="7月" sheetId="11" r:id="rId10"/>
    <sheet name="8月" sheetId="9" r:id="rId11"/>
    <sheet name="9月" sheetId="8" r:id="rId12"/>
  </sheets>
  <definedNames>
    <definedName name="_xlnm.Print_Area" localSheetId="6">'4月'!$A$1:$W$33</definedName>
    <definedName name="_xlnm.Print_Area" localSheetId="7">'5月'!$A$1:$W$33</definedName>
    <definedName name="_xlnm.Print_Area" localSheetId="8">'6月'!$A$1:$W$33</definedName>
    <definedName name="_xlnm.Print_Area" localSheetId="9">'7月'!$A$1:$W$33</definedName>
    <definedName name="_xlnm.Print_Area" localSheetId="10">'8月'!$A$1:$W$33</definedName>
    <definedName name="_xlnm.Print_Area" localSheetId="11">'9月'!$A$1:$W$32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4" i="2"/>
  <c r="D2" i="2"/>
  <c r="C2" i="2" s="1"/>
  <c r="J2" i="2"/>
  <c r="J3" i="2"/>
  <c r="J4" i="2"/>
  <c r="I2" i="2"/>
  <c r="I4" i="2"/>
  <c r="I3" i="2"/>
  <c r="H4" i="2"/>
  <c r="H3" i="2"/>
  <c r="H2" i="2"/>
  <c r="G4" i="2"/>
  <c r="G2" i="2"/>
  <c r="G3" i="2"/>
  <c r="E3" i="2"/>
  <c r="D3" i="2"/>
  <c r="D4" i="2"/>
  <c r="C4" i="2" s="1"/>
  <c r="F4" i="2"/>
  <c r="F3" i="2"/>
  <c r="C3" i="2"/>
  <c r="J5" i="2"/>
  <c r="I5" i="2"/>
  <c r="H5" i="2"/>
  <c r="G5" i="2"/>
  <c r="F5" i="2"/>
  <c r="E5" i="2"/>
  <c r="D5" i="2"/>
  <c r="C5" i="2" s="1"/>
  <c r="H4" i="9"/>
  <c r="J7" i="2"/>
  <c r="J6" i="2"/>
  <c r="I7" i="2"/>
  <c r="I6" i="2"/>
  <c r="H7" i="2"/>
  <c r="H6" i="2"/>
  <c r="G7" i="2"/>
  <c r="G6" i="2"/>
  <c r="F2" i="2"/>
  <c r="F6" i="2"/>
  <c r="E7" i="2"/>
  <c r="F7" i="2" s="1"/>
  <c r="D7" i="2"/>
  <c r="C7" i="2" s="1"/>
  <c r="E6" i="2"/>
  <c r="D6" i="2"/>
  <c r="C6" i="2" s="1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3" i="9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16" i="14"/>
  <c r="H15" i="14"/>
  <c r="H14" i="14"/>
  <c r="H13" i="14"/>
  <c r="H12" i="14"/>
  <c r="H11" i="14"/>
  <c r="H10" i="14"/>
  <c r="H9" i="14"/>
  <c r="H8" i="14"/>
  <c r="H7" i="14"/>
  <c r="H6" i="14"/>
  <c r="H5" i="14"/>
  <c r="H4" i="14"/>
  <c r="H3" i="14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  <c r="H3" i="12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" i="13"/>
</calcChain>
</file>

<file path=xl/sharedStrings.xml><?xml version="1.0" encoding="utf-8"?>
<sst xmlns="http://schemas.openxmlformats.org/spreadsheetml/2006/main" count="440" uniqueCount="248">
  <si>
    <t>イクマ Instagram 89日間 集計サマリー</t>
  </si>
  <si>
    <t>対象期間: 2026年7月3日〜9月29日(89日分)</t>
  </si>
  <si>
    <t>合計 閲覧数</t>
  </si>
  <si>
    <t>147,663 回</t>
  </si>
  <si>
    <t>フォロワー純増数(89日合計)</t>
  </si>
  <si>
    <t>673 人</t>
  </si>
  <si>
    <t>1日あたり平均フォロワー増減</t>
  </si>
  <si>
    <t>+7.6 人/日</t>
  </si>
  <si>
    <t>フォロワー純減日数</t>
  </si>
  <si>
    <t>18 日 / 89日 (20%)</t>
  </si>
  <si>
    <t>合計 インタラクション数(いいね・保存等)</t>
  </si>
  <si>
    <t>1,551 件</t>
  </si>
  <si>
    <t>1日あたり平均プロフィールアクセス数</t>
  </si>
  <si>
    <t>178.6 件</t>
  </si>
  <si>
    <t>詳細は「月別集計」「曜日別集計」「週次推移」「相関係数」の各シートを参照。元データは「日次ログ(元データ)」シートに格納。</t>
  </si>
  <si>
    <t>月</t>
  </si>
  <si>
    <t>日数</t>
  </si>
  <si>
    <t>閲覧数(平均/日)</t>
  </si>
  <si>
    <t>閲覧数(合計)</t>
  </si>
  <si>
    <t>フォロワー純増(合計)</t>
  </si>
  <si>
    <t>フォロワー純増(平均/日)</t>
  </si>
  <si>
    <t>インタラクション(平均/日)</t>
  </si>
  <si>
    <t>プロフィールアクセス(平均/日)</t>
  </si>
  <si>
    <t>ストーリーズ閲覧(合計)</t>
  </si>
  <si>
    <t>リール閲覧(合計)</t>
  </si>
  <si>
    <t>2026年7月</t>
  </si>
  <si>
    <t>2026年8月</t>
  </si>
  <si>
    <t>2026年9月</t>
  </si>
  <si>
    <t>曜日</t>
  </si>
  <si>
    <t>サンプル数</t>
  </si>
  <si>
    <t>閲覧数(平均)</t>
  </si>
  <si>
    <t>フォロワー純増(平均)</t>
  </si>
  <si>
    <t>インタラクション(平均)</t>
  </si>
  <si>
    <t>リール閲覧(平均)</t>
  </si>
  <si>
    <t>ストーリーズ閲覧(平均)</t>
  </si>
  <si>
    <t>火</t>
  </si>
  <si>
    <t>水</t>
  </si>
  <si>
    <t>木</t>
  </si>
  <si>
    <t>金</t>
  </si>
  <si>
    <t>土</t>
  </si>
  <si>
    <t>日</t>
  </si>
  <si>
    <t>週</t>
  </si>
  <si>
    <t>開始日</t>
  </si>
  <si>
    <t>週1</t>
  </si>
  <si>
    <t>2026/07/03</t>
  </si>
  <si>
    <t>週2</t>
  </si>
  <si>
    <t>2026/07/10</t>
  </si>
  <si>
    <t>週3</t>
  </si>
  <si>
    <t>2026/07/17</t>
  </si>
  <si>
    <t>週4</t>
  </si>
  <si>
    <t>2026/07/24</t>
  </si>
  <si>
    <t>週5</t>
  </si>
  <si>
    <t>2026/07/31</t>
  </si>
  <si>
    <t>週6</t>
  </si>
  <si>
    <t>2026/08/07</t>
  </si>
  <si>
    <t>週7</t>
  </si>
  <si>
    <t>2026/08/14</t>
  </si>
  <si>
    <t>週8</t>
  </si>
  <si>
    <t>2026/08/21</t>
  </si>
  <si>
    <t>週9</t>
  </si>
  <si>
    <t>2026/08/28</t>
  </si>
  <si>
    <t>週10</t>
  </si>
  <si>
    <t>2026/09/04</t>
  </si>
  <si>
    <t>週11</t>
  </si>
  <si>
    <t>2026/09/11</t>
  </si>
  <si>
    <t>週12</t>
  </si>
  <si>
    <t>2026/09/18</t>
  </si>
  <si>
    <t>週13</t>
  </si>
  <si>
    <t>2026/09/25</t>
  </si>
  <si>
    <t>赤=8月の低迷期(週7・週8)、緑=直近の急回復期(週13)。週7・8はリール閲覧が週1の94%減。</t>
  </si>
  <si>
    <t>フォロワー純増との相関係数</t>
  </si>
  <si>
    <t>指標</t>
  </si>
  <si>
    <t>相関係数</t>
  </si>
  <si>
    <t>関係の強さ</t>
  </si>
  <si>
    <t>閲覧数(全体)</t>
  </si>
  <si>
    <t>弱い</t>
  </si>
  <si>
    <t>リール閲覧数</t>
  </si>
  <si>
    <t>ほぼ無関係</t>
  </si>
  <si>
    <t>ストーリーズ閲覧数</t>
  </si>
  <si>
    <t>インタラクション数</t>
  </si>
  <si>
    <t>プロフィールアクセス数</t>
  </si>
  <si>
    <t>強い</t>
  </si>
  <si>
    <t>プロフィールリンクタップ数</t>
  </si>
  <si>
    <t>中程度</t>
  </si>
  <si>
    <t>相関係数は-1〜+1の値で、1に近いほど「その指標が増えるとフォロワーも増える」関係が強いことを示す。プロフィールアクセス数(0.70)・リンクタップ数(0.54)が、単純な閲覧数(0.22)より強くフォロワー増加と結びついている。</t>
  </si>
  <si>
    <t>日次</t>
    <rPh sb="0" eb="2">
      <t>ニティ</t>
    </rPh>
    <phoneticPr fontId="10"/>
  </si>
  <si>
    <t>概要</t>
    <rPh sb="0" eb="2">
      <t>ガイヨウ</t>
    </rPh>
    <phoneticPr fontId="10"/>
  </si>
  <si>
    <t>閲覧数</t>
    <rPh sb="0" eb="3">
      <t>エツランス</t>
    </rPh>
    <phoneticPr fontId="10"/>
  </si>
  <si>
    <t>閲覧者数</t>
    <rPh sb="0" eb="3">
      <t>エツラn</t>
    </rPh>
    <rPh sb="3" eb="4">
      <t>スウ</t>
    </rPh>
    <phoneticPr fontId="10"/>
  </si>
  <si>
    <t>平均再生時間</t>
    <rPh sb="0" eb="6">
      <t>ヘイキn</t>
    </rPh>
    <phoneticPr fontId="10"/>
  </si>
  <si>
    <t>フォロー数</t>
    <phoneticPr fontId="10"/>
  </si>
  <si>
    <t>スキップ率</t>
    <rPh sb="4" eb="5">
      <t>リテゥ</t>
    </rPh>
    <phoneticPr fontId="10"/>
  </si>
  <si>
    <t>シャア率</t>
    <rPh sb="3" eb="4">
      <t>リテゥ</t>
    </rPh>
    <phoneticPr fontId="10"/>
  </si>
  <si>
    <t>いいね率</t>
    <phoneticPr fontId="10"/>
  </si>
  <si>
    <t>保存率</t>
    <rPh sb="0" eb="3">
      <t>ホゾn</t>
    </rPh>
    <phoneticPr fontId="10"/>
  </si>
  <si>
    <t>再投稿率</t>
    <rPh sb="0" eb="4">
      <t>サイトウコウ</t>
    </rPh>
    <phoneticPr fontId="10"/>
  </si>
  <si>
    <t>コメント率</t>
    <phoneticPr fontId="10"/>
  </si>
  <si>
    <t>閲覧の上位ソース</t>
    <rPh sb="0" eb="2">
      <t>エツラn</t>
    </rPh>
    <phoneticPr fontId="10"/>
  </si>
  <si>
    <t>［リール］タブ</t>
    <phoneticPr fontId="10"/>
  </si>
  <si>
    <t>フィード</t>
    <phoneticPr fontId="10"/>
  </si>
  <si>
    <t>発見</t>
    <rPh sb="0" eb="2">
      <t>ハッケn</t>
    </rPh>
    <phoneticPr fontId="10"/>
  </si>
  <si>
    <t>プロフィール</t>
    <phoneticPr fontId="10"/>
  </si>
  <si>
    <t>エンゲージメント</t>
    <phoneticPr fontId="10"/>
  </si>
  <si>
    <t>プロフのアクセス数</t>
    <rPh sb="8" eb="9">
      <t>スウ</t>
    </rPh>
    <phoneticPr fontId="10"/>
  </si>
  <si>
    <t>自己紹介のリンククリック</t>
    <rPh sb="0" eb="4">
      <t>ジコショウカイ</t>
    </rPh>
    <phoneticPr fontId="10"/>
  </si>
  <si>
    <t>いいね数</t>
    <rPh sb="3" eb="4">
      <t>スウ</t>
    </rPh>
    <phoneticPr fontId="10"/>
  </si>
  <si>
    <t>コメント数</t>
    <rPh sb="4" eb="5">
      <t>スウ</t>
    </rPh>
    <phoneticPr fontId="10"/>
  </si>
  <si>
    <t>再投稿</t>
    <rPh sb="0" eb="3">
      <t>サイトウコウ</t>
    </rPh>
    <phoneticPr fontId="10"/>
  </si>
  <si>
    <t>シェア数</t>
    <phoneticPr fontId="10"/>
  </si>
  <si>
    <t>保存数</t>
    <rPh sb="0" eb="3">
      <t>ホゾn</t>
    </rPh>
    <phoneticPr fontId="10"/>
  </si>
  <si>
    <t>オーディエンス</t>
    <phoneticPr fontId="10"/>
  </si>
  <si>
    <t>フォロワー</t>
    <phoneticPr fontId="10"/>
  </si>
  <si>
    <t>フォロワー以外</t>
    <rPh sb="5" eb="7">
      <t>イガイ</t>
    </rPh>
    <phoneticPr fontId="10"/>
  </si>
  <si>
    <t>13−17</t>
    <phoneticPr fontId="10"/>
  </si>
  <si>
    <t>18-24</t>
    <phoneticPr fontId="10"/>
  </si>
  <si>
    <t>25-34</t>
    <phoneticPr fontId="10"/>
  </si>
  <si>
    <t>35-44</t>
    <phoneticPr fontId="10"/>
  </si>
  <si>
    <t>45-54</t>
    <phoneticPr fontId="10"/>
  </si>
  <si>
    <t>55-64</t>
    <phoneticPr fontId="10"/>
  </si>
  <si>
    <t>65+</t>
    <phoneticPr fontId="10"/>
  </si>
  <si>
    <t>男性</t>
    <rPh sb="0" eb="2">
      <t>ダンセイ</t>
    </rPh>
    <phoneticPr fontId="10"/>
  </si>
  <si>
    <t>女性</t>
    <rPh sb="0" eb="2">
      <t>ジョセイ</t>
    </rPh>
    <phoneticPr fontId="10"/>
  </si>
  <si>
    <t>動画尺</t>
    <rPh sb="0" eb="3">
      <t>ドウガ</t>
    </rPh>
    <phoneticPr fontId="10"/>
  </si>
  <si>
    <t>-</t>
    <phoneticPr fontId="10"/>
  </si>
  <si>
    <t>タイトル</t>
    <phoneticPr fontId="10"/>
  </si>
  <si>
    <t>二頭筋を爆発的にデカくする〜４選〜</t>
    <rPh sb="0" eb="3">
      <t>ニトウク</t>
    </rPh>
    <rPh sb="4" eb="7">
      <t>バクハテゥ</t>
    </rPh>
    <rPh sb="15" eb="16">
      <t xml:space="preserve">セン </t>
    </rPh>
    <phoneticPr fontId="10"/>
  </si>
  <si>
    <t>二頭で妊娠するためにやること</t>
    <rPh sb="0" eb="1">
      <t>ニトウ</t>
    </rPh>
    <rPh sb="3" eb="5">
      <t>ニンシn</t>
    </rPh>
    <phoneticPr fontId="10"/>
  </si>
  <si>
    <t>筋肉が大きくなる仕組み</t>
    <rPh sb="0" eb="2">
      <t>キンニク</t>
    </rPh>
    <rPh sb="3" eb="4">
      <t>オオキク</t>
    </rPh>
    <phoneticPr fontId="10"/>
  </si>
  <si>
    <t>腹筋100回やっても腹筋は割れない</t>
    <rPh sb="0" eb="2">
      <t>フッキn</t>
    </rPh>
    <rPh sb="13" eb="14">
      <t>ワレ</t>
    </rPh>
    <phoneticPr fontId="10"/>
  </si>
  <si>
    <t>ストーリーズ</t>
    <phoneticPr fontId="10"/>
  </si>
  <si>
    <t>ー</t>
    <phoneticPr fontId="10"/>
  </si>
  <si>
    <t>細かい筋トレよりもまずはBIG３を鍛えろ</t>
    <rPh sb="0" eb="1">
      <t>コマカ</t>
    </rPh>
    <rPh sb="3" eb="4">
      <t>キントレ</t>
    </rPh>
    <rPh sb="17" eb="18">
      <t>キタエ</t>
    </rPh>
    <phoneticPr fontId="10"/>
  </si>
  <si>
    <t>13..3%</t>
    <phoneticPr fontId="10"/>
  </si>
  <si>
    <t>20歳前後で筋トレしてない人へ</t>
    <rPh sb="2" eb="3">
      <t>サイ</t>
    </rPh>
    <rPh sb="3" eb="5">
      <t>ゼンゴデ</t>
    </rPh>
    <rPh sb="6" eb="7">
      <t>キントレ</t>
    </rPh>
    <rPh sb="13" eb="14">
      <t>ヒト</t>
    </rPh>
    <phoneticPr fontId="10"/>
  </si>
  <si>
    <t>００バランスを整える知識</t>
    <rPh sb="7" eb="8">
      <t>トトノエ</t>
    </rPh>
    <rPh sb="10" eb="12">
      <t>チシキ</t>
    </rPh>
    <phoneticPr fontId="10"/>
  </si>
  <si>
    <t>胸トレルーティン</t>
    <rPh sb="0" eb="1">
      <t>ムネ</t>
    </rPh>
    <phoneticPr fontId="10"/>
  </si>
  <si>
    <t>筋肉の嘘・本当</t>
    <rPh sb="0" eb="1">
      <t>キンニク</t>
    </rPh>
    <rPh sb="3" eb="4">
      <t>ウソ</t>
    </rPh>
    <rPh sb="5" eb="7">
      <t>ホn</t>
    </rPh>
    <phoneticPr fontId="10"/>
  </si>
  <si>
    <t>検索</t>
    <rPh sb="0" eb="2">
      <t>ケンサク</t>
    </rPh>
    <phoneticPr fontId="10"/>
  </si>
  <si>
    <t>筋肉×有酸素</t>
    <rPh sb="0" eb="2">
      <t>KINNNIK</t>
    </rPh>
    <rPh sb="3" eb="6">
      <t>YUUSANNS</t>
    </rPh>
    <phoneticPr fontId="10"/>
  </si>
  <si>
    <t>マルチビタミン×筋肥大</t>
    <rPh sb="8" eb="11">
      <t>キn</t>
    </rPh>
    <phoneticPr fontId="10"/>
  </si>
  <si>
    <t>タンパク質×筋合成</t>
    <rPh sb="6" eb="9">
      <t>キn</t>
    </rPh>
    <phoneticPr fontId="10"/>
  </si>
  <si>
    <t>シェイカー紹介</t>
    <phoneticPr fontId="10"/>
  </si>
  <si>
    <t>筋トレしてるなら常識</t>
    <rPh sb="0" eb="1">
      <t>キントレ</t>
    </rPh>
    <rPh sb="8" eb="10">
      <t>ジョウ</t>
    </rPh>
    <phoneticPr fontId="10"/>
  </si>
  <si>
    <t>まだ10回3セットに縛られてない？</t>
    <rPh sb="10" eb="11">
      <t>シバラレ</t>
    </rPh>
    <phoneticPr fontId="10"/>
  </si>
  <si>
    <t>29,6%</t>
    <phoneticPr fontId="10"/>
  </si>
  <si>
    <t>筋肥大は「頑張る」より「理解」</t>
    <rPh sb="0" eb="1">
      <t>キンヒダイヘ</t>
    </rPh>
    <rPh sb="5" eb="7">
      <t>ガンバル</t>
    </rPh>
    <rPh sb="12" eb="14">
      <t>リカイ</t>
    </rPh>
    <phoneticPr fontId="10"/>
  </si>
  <si>
    <t>8.8.%</t>
    <phoneticPr fontId="10"/>
  </si>
  <si>
    <t>飲みすぎた次の日にやっていること</t>
    <rPh sb="0" eb="1">
      <t>ノミスギ</t>
    </rPh>
    <phoneticPr fontId="10"/>
  </si>
  <si>
    <t>大胸筋で黙らせろ</t>
    <rPh sb="0" eb="3">
      <t>ダイキョウ</t>
    </rPh>
    <rPh sb="4" eb="5">
      <t>ダマラ</t>
    </rPh>
    <phoneticPr fontId="10"/>
  </si>
  <si>
    <t>筋トレ後にやった方がいいこと〜５選〜</t>
    <rPh sb="0" eb="1">
      <t>キントレ</t>
    </rPh>
    <rPh sb="3" eb="4">
      <t>ゴニ</t>
    </rPh>
    <phoneticPr fontId="10"/>
  </si>
  <si>
    <t>筋肉がデカくなる本当の仕組み</t>
    <rPh sb="0" eb="1">
      <t>キンニク</t>
    </rPh>
    <rPh sb="8" eb="10">
      <t>ホn</t>
    </rPh>
    <phoneticPr fontId="10"/>
  </si>
  <si>
    <t>7.7.%</t>
    <phoneticPr fontId="10"/>
  </si>
  <si>
    <t>筋肥大させたいなら水も大事</t>
    <rPh sb="0" eb="1">
      <t>キンヒダ</t>
    </rPh>
    <rPh sb="9" eb="10">
      <t>ミズ</t>
    </rPh>
    <rPh sb="11" eb="13">
      <t>ダイジ</t>
    </rPh>
    <phoneticPr fontId="10"/>
  </si>
  <si>
    <t>今日ジムに入会した21歳</t>
    <rPh sb="0" eb="2">
      <t>キョウジム</t>
    </rPh>
    <rPh sb="5" eb="7">
      <t>ニュウカイ</t>
    </rPh>
    <phoneticPr fontId="10"/>
  </si>
  <si>
    <t>1時間で終わる背中トレメニュー</t>
    <rPh sb="7" eb="9">
      <t>セナカ</t>
    </rPh>
    <phoneticPr fontId="10"/>
  </si>
  <si>
    <t>筋トレ×サウナ</t>
    <rPh sb="0" eb="1">
      <t>キントレ</t>
    </rPh>
    <phoneticPr fontId="10"/>
  </si>
  <si>
    <t>筋トレ×睡眠</t>
    <rPh sb="0" eb="1">
      <t>🏋️カケル</t>
    </rPh>
    <rPh sb="4" eb="6">
      <t>スイミn</t>
    </rPh>
    <phoneticPr fontId="10"/>
  </si>
  <si>
    <t>筋トレ初心者が知るべき数字</t>
    <rPh sb="3" eb="6">
      <t>ショシn</t>
    </rPh>
    <rPh sb="7" eb="8">
      <t>シル</t>
    </rPh>
    <rPh sb="11" eb="13">
      <t>スウ</t>
    </rPh>
    <phoneticPr fontId="10"/>
  </si>
  <si>
    <t>筋トレ×タバコの現実</t>
    <rPh sb="3" eb="4">
      <t>×</t>
    </rPh>
    <rPh sb="8" eb="10">
      <t>ゲンジテゥ</t>
    </rPh>
    <phoneticPr fontId="10"/>
  </si>
  <si>
    <t>筋トレ×お酒の正しい距離感〜５選〜</t>
    <rPh sb="3" eb="4">
      <t>×</t>
    </rPh>
    <rPh sb="7" eb="8">
      <t>タダセィ</t>
    </rPh>
    <rPh sb="10" eb="13">
      <t>キョリ</t>
    </rPh>
    <phoneticPr fontId="10"/>
  </si>
  <si>
    <t>筋肉のためにやめてよかったこと</t>
    <rPh sb="0" eb="1">
      <t>キンニク</t>
    </rPh>
    <phoneticPr fontId="10"/>
  </si>
  <si>
    <t>広島の若造の胸トレ</t>
    <rPh sb="0" eb="2">
      <t>ヒロシマ</t>
    </rPh>
    <rPh sb="6" eb="7">
      <t>ムネトル</t>
    </rPh>
    <phoneticPr fontId="10"/>
  </si>
  <si>
    <t>広島の若造がやめてよかった３つのこと</t>
    <rPh sb="0" eb="2">
      <t>ヒロシマ</t>
    </rPh>
    <rPh sb="3" eb="5">
      <t>ワカゾウ</t>
    </rPh>
    <phoneticPr fontId="10"/>
  </si>
  <si>
    <t>筋肥大は○○</t>
    <rPh sb="0" eb="1">
      <t>スジ</t>
    </rPh>
    <rPh sb="1" eb="3">
      <t>ヒダイ</t>
    </rPh>
    <phoneticPr fontId="10"/>
  </si>
  <si>
    <t>チキンレッグ税</t>
    <rPh sb="6" eb="7">
      <t>ゼイ</t>
    </rPh>
    <phoneticPr fontId="10"/>
  </si>
  <si>
    <t>でかくなりたいならしゃがめ</t>
    <phoneticPr fontId="10"/>
  </si>
  <si>
    <t>お酒を飲んでも筋肉が落ちない日</t>
    <rPh sb="1" eb="2">
      <t>サケ</t>
    </rPh>
    <rPh sb="3" eb="4">
      <t>ノ</t>
    </rPh>
    <rPh sb="7" eb="9">
      <t>キンニク</t>
    </rPh>
    <rPh sb="10" eb="11">
      <t>オ</t>
    </rPh>
    <rPh sb="14" eb="15">
      <t>ヒ</t>
    </rPh>
    <phoneticPr fontId="10"/>
  </si>
  <si>
    <t>痩せる仕組み</t>
    <rPh sb="0" eb="1">
      <t>ヤ</t>
    </rPh>
    <rPh sb="3" eb="5">
      <t>シク</t>
    </rPh>
    <phoneticPr fontId="10"/>
  </si>
  <si>
    <t>粘りに粘った日</t>
    <rPh sb="0" eb="1">
      <t>ネバ</t>
    </rPh>
    <rPh sb="3" eb="4">
      <t>ネバ</t>
    </rPh>
    <rPh sb="6" eb="7">
      <t>ヒ</t>
    </rPh>
    <phoneticPr fontId="10"/>
  </si>
  <si>
    <t>バァーンってなった日</t>
    <rPh sb="9" eb="10">
      <t>ヒ</t>
    </rPh>
    <phoneticPr fontId="10"/>
  </si>
  <si>
    <t>クッパの甲羅</t>
    <rPh sb="4" eb="6">
      <t>コウラ</t>
    </rPh>
    <phoneticPr fontId="10"/>
  </si>
  <si>
    <t>腕をパンパンにする上腕爆破メニュー</t>
    <rPh sb="0" eb="1">
      <t>ウデ</t>
    </rPh>
    <rPh sb="9" eb="11">
      <t>ジョウワン</t>
    </rPh>
    <rPh sb="11" eb="13">
      <t>バクハ</t>
    </rPh>
    <phoneticPr fontId="10"/>
  </si>
  <si>
    <t>胸トレが頑張れなかった日</t>
    <rPh sb="0" eb="1">
      <t>ムネ</t>
    </rPh>
    <rPh sb="4" eb="6">
      <t>ガンバ</t>
    </rPh>
    <rPh sb="11" eb="12">
      <t>ヒ</t>
    </rPh>
    <phoneticPr fontId="10"/>
  </si>
  <si>
    <t>気合だけで始めた人の末路</t>
    <rPh sb="0" eb="2">
      <t>キアイ</t>
    </rPh>
    <rPh sb="5" eb="6">
      <t>ハジ</t>
    </rPh>
    <rPh sb="8" eb="9">
      <t>ヒト</t>
    </rPh>
    <rPh sb="10" eb="12">
      <t>マツロ</t>
    </rPh>
    <phoneticPr fontId="10"/>
  </si>
  <si>
    <t>その一口が筋肉を殺している</t>
    <rPh sb="2" eb="4">
      <t>ヒトクチ</t>
    </rPh>
    <rPh sb="5" eb="7">
      <t>キンニク</t>
    </rPh>
    <rPh sb="8" eb="9">
      <t>コロ</t>
    </rPh>
    <phoneticPr fontId="10"/>
  </si>
  <si>
    <t>これさえ食べれば筋肉つく</t>
    <rPh sb="4" eb="5">
      <t>タ</t>
    </rPh>
    <rPh sb="8" eb="10">
      <t>キンニク</t>
    </rPh>
    <phoneticPr fontId="10"/>
  </si>
  <si>
    <t>伸び悩んでいる人はこの「仕組み」を知らない</t>
    <rPh sb="0" eb="1">
      <t>ノ</t>
    </rPh>
    <rPh sb="2" eb="3">
      <t>ナヤ</t>
    </rPh>
    <rPh sb="7" eb="8">
      <t>ヒト</t>
    </rPh>
    <rPh sb="12" eb="14">
      <t>シク</t>
    </rPh>
    <rPh sb="17" eb="18">
      <t>シ</t>
    </rPh>
    <phoneticPr fontId="10"/>
  </si>
  <si>
    <t>サプリは補助</t>
    <rPh sb="4" eb="6">
      <t>ホジョ</t>
    </rPh>
    <phoneticPr fontId="10"/>
  </si>
  <si>
    <t>筋肥大する人の共通点7つ</t>
    <rPh sb="0" eb="3">
      <t>キンヒダイ</t>
    </rPh>
    <rPh sb="5" eb="6">
      <t>ヒト</t>
    </rPh>
    <rPh sb="7" eb="10">
      <t>キョウツウテン</t>
    </rPh>
    <phoneticPr fontId="10"/>
  </si>
  <si>
    <t>20..9%</t>
    <phoneticPr fontId="10"/>
  </si>
  <si>
    <t>おっぱいを仕上げるのは最後の一絞り</t>
    <rPh sb="5" eb="7">
      <t>シア</t>
    </rPh>
    <rPh sb="11" eb="13">
      <t>サイゴ</t>
    </rPh>
    <rPh sb="14" eb="16">
      <t>ヒトシボ</t>
    </rPh>
    <phoneticPr fontId="10"/>
  </si>
  <si>
    <t>筋肉じゃなくて脂肪を育ててますよ</t>
    <rPh sb="0" eb="2">
      <t>キンニク</t>
    </rPh>
    <rPh sb="7" eb="9">
      <t>シボウ</t>
    </rPh>
    <rPh sb="10" eb="11">
      <t>ソダ</t>
    </rPh>
    <phoneticPr fontId="10"/>
  </si>
  <si>
    <t>酒太り9割は「○○」で防げます</t>
    <rPh sb="0" eb="2">
      <t>サケブト</t>
    </rPh>
    <rPh sb="4" eb="5">
      <t>ワリ</t>
    </rPh>
    <rPh sb="11" eb="12">
      <t>フセ</t>
    </rPh>
    <phoneticPr fontId="10"/>
  </si>
  <si>
    <t>世界の大谷翔平の体が「別格」な理由</t>
    <rPh sb="0" eb="2">
      <t>セカイ</t>
    </rPh>
    <rPh sb="3" eb="5">
      <t>オオタニ</t>
    </rPh>
    <rPh sb="5" eb="7">
      <t>ショウヘイ</t>
    </rPh>
    <rPh sb="8" eb="9">
      <t>カラダ</t>
    </rPh>
    <rPh sb="11" eb="13">
      <t>ベッカク</t>
    </rPh>
    <rPh sb="15" eb="17">
      <t>リユウ</t>
    </rPh>
    <phoneticPr fontId="10"/>
  </si>
  <si>
    <t>筋肉は筋トレ＝刺激、睡眠＝成長</t>
    <rPh sb="0" eb="2">
      <t>キンニク</t>
    </rPh>
    <rPh sb="3" eb="4">
      <t>キン</t>
    </rPh>
    <rPh sb="7" eb="9">
      <t>シゲキ</t>
    </rPh>
    <rPh sb="10" eb="12">
      <t>スイミン</t>
    </rPh>
    <rPh sb="13" eb="15">
      <t>セイチョウ</t>
    </rPh>
    <phoneticPr fontId="10"/>
  </si>
  <si>
    <t>6つの意識の違い</t>
    <rPh sb="3" eb="5">
      <t>イシキ</t>
    </rPh>
    <rPh sb="6" eb="7">
      <t>チガ</t>
    </rPh>
    <phoneticPr fontId="10"/>
  </si>
  <si>
    <t>朝一で筋肉に餌を与えていますか？</t>
    <rPh sb="0" eb="2">
      <t>アサイチ</t>
    </rPh>
    <rPh sb="3" eb="5">
      <t>キンニク</t>
    </rPh>
    <rPh sb="6" eb="7">
      <t>エサ</t>
    </rPh>
    <rPh sb="8" eb="9">
      <t>アタ</t>
    </rPh>
    <phoneticPr fontId="10"/>
  </si>
  <si>
    <t>筋肉はジムじゃなくて○○で大きくなる</t>
    <rPh sb="0" eb="2">
      <t>キンニク</t>
    </rPh>
    <rPh sb="13" eb="14">
      <t>オオ</t>
    </rPh>
    <phoneticPr fontId="10"/>
  </si>
  <si>
    <t>ダンベルカールだけじゃ大きくならんよ</t>
    <rPh sb="11" eb="12">
      <t>オオ</t>
    </rPh>
    <phoneticPr fontId="10"/>
  </si>
  <si>
    <t>「タンパク質だけ」は「家に屋根がないの」のと一緒</t>
    <rPh sb="5" eb="6">
      <t>シツ</t>
    </rPh>
    <rPh sb="11" eb="12">
      <t>イエ</t>
    </rPh>
    <rPh sb="13" eb="15">
      <t>ヤネ</t>
    </rPh>
    <rPh sb="22" eb="24">
      <t>イッショ</t>
    </rPh>
    <phoneticPr fontId="10"/>
  </si>
  <si>
    <t>筋肉を破壊する危険時間帯</t>
    <rPh sb="0" eb="2">
      <t>キンニク</t>
    </rPh>
    <rPh sb="3" eb="5">
      <t>ハカイ</t>
    </rPh>
    <rPh sb="7" eb="9">
      <t>キケン</t>
    </rPh>
    <rPh sb="9" eb="12">
      <t>ジカンタイ</t>
    </rPh>
    <phoneticPr fontId="10"/>
  </si>
  <si>
    <t>小さな悩みを大きな筋肉でぶっ飛ばせ</t>
    <rPh sb="0" eb="1">
      <t>チイ</t>
    </rPh>
    <rPh sb="3" eb="4">
      <t>ナヤ</t>
    </rPh>
    <rPh sb="6" eb="7">
      <t>オオ</t>
    </rPh>
    <rPh sb="9" eb="11">
      <t>キンニク</t>
    </rPh>
    <rPh sb="14" eb="15">
      <t>ト</t>
    </rPh>
    <phoneticPr fontId="10"/>
  </si>
  <si>
    <t>筋肉つく食事意識しても筋肉は正直です</t>
    <rPh sb="0" eb="2">
      <t>キンニク</t>
    </rPh>
    <rPh sb="4" eb="8">
      <t>ショクジイシキ</t>
    </rPh>
    <rPh sb="11" eb="13">
      <t>キンニク</t>
    </rPh>
    <rPh sb="14" eb="16">
      <t>ショウジキ</t>
    </rPh>
    <phoneticPr fontId="10"/>
  </si>
  <si>
    <t>一生デブ体質の日値がやってない7習慣</t>
    <rPh sb="0" eb="2">
      <t>イッショウ</t>
    </rPh>
    <rPh sb="4" eb="6">
      <t>タイシツ</t>
    </rPh>
    <rPh sb="7" eb="9">
      <t>ヒチ</t>
    </rPh>
    <rPh sb="16" eb="18">
      <t>シュウカン</t>
    </rPh>
    <phoneticPr fontId="10"/>
  </si>
  <si>
    <t>朝食を甘く見た結果が今の体</t>
    <rPh sb="0" eb="2">
      <t>チョウショク</t>
    </rPh>
    <rPh sb="3" eb="4">
      <t>アマ</t>
    </rPh>
    <rPh sb="5" eb="6">
      <t>ミ</t>
    </rPh>
    <rPh sb="7" eb="9">
      <t>ケッカ</t>
    </rPh>
    <rPh sb="10" eb="11">
      <t>イマ</t>
    </rPh>
    <rPh sb="12" eb="13">
      <t>カラダ</t>
    </rPh>
    <phoneticPr fontId="10"/>
  </si>
  <si>
    <t>やめるべき習慣VSやるべき習慣</t>
    <rPh sb="5" eb="7">
      <t>シュウカン</t>
    </rPh>
    <rPh sb="13" eb="15">
      <t>シュウカン</t>
    </rPh>
    <phoneticPr fontId="10"/>
  </si>
  <si>
    <t>筋トレ前にこれしないのはもはや罪</t>
    <rPh sb="0" eb="1">
      <t>キン</t>
    </rPh>
    <rPh sb="3" eb="4">
      <t>マエ</t>
    </rPh>
    <rPh sb="15" eb="16">
      <t>ツミ</t>
    </rPh>
    <phoneticPr fontId="10"/>
  </si>
  <si>
    <t>3ヶ月後”筋肉がつく男”に変わる20の習慣</t>
    <rPh sb="2" eb="4">
      <t>ゲツゴ</t>
    </rPh>
    <rPh sb="5" eb="7">
      <t>キンニク</t>
    </rPh>
    <rPh sb="10" eb="11">
      <t>オトコ</t>
    </rPh>
    <rPh sb="13" eb="14">
      <t>カ</t>
    </rPh>
    <rPh sb="19" eb="21">
      <t>シュウカン</t>
    </rPh>
    <phoneticPr fontId="10"/>
  </si>
  <si>
    <t>関係ない筋トレしろ</t>
    <rPh sb="0" eb="2">
      <t>カンケイ</t>
    </rPh>
    <rPh sb="4" eb="5">
      <t>キン</t>
    </rPh>
    <phoneticPr fontId="10"/>
  </si>
  <si>
    <t>実は太る食材</t>
    <rPh sb="0" eb="1">
      <t>ジツ</t>
    </rPh>
    <rPh sb="2" eb="3">
      <t>フト</t>
    </rPh>
    <rPh sb="4" eb="6">
      <t>ショクザイ</t>
    </rPh>
    <phoneticPr fontId="10"/>
  </si>
  <si>
    <t>勘違いしていた習慣6選</t>
    <rPh sb="0" eb="2">
      <t>カンチガ</t>
    </rPh>
    <rPh sb="7" eb="9">
      <t>シュウカン</t>
    </rPh>
    <rPh sb="10" eb="11">
      <t>セン</t>
    </rPh>
    <phoneticPr fontId="10"/>
  </si>
  <si>
    <t>極端な食事制限は痩せにくくなる理由</t>
    <rPh sb="0" eb="2">
      <t>キョクタン</t>
    </rPh>
    <rPh sb="3" eb="7">
      <t>ショクジセイゲン</t>
    </rPh>
    <rPh sb="8" eb="9">
      <t>ヤ</t>
    </rPh>
    <rPh sb="15" eb="17">
      <t>リユウ</t>
    </rPh>
    <phoneticPr fontId="10"/>
  </si>
  <si>
    <t>白米の大切さ</t>
    <rPh sb="0" eb="2">
      <t>ハクマイ</t>
    </rPh>
    <rPh sb="3" eb="5">
      <t>タイセツ</t>
    </rPh>
    <phoneticPr fontId="10"/>
  </si>
  <si>
    <t>サーモンってただの魚じゃない</t>
    <rPh sb="9" eb="10">
      <t>サカナ</t>
    </rPh>
    <phoneticPr fontId="10"/>
  </si>
  <si>
    <t>スクワットやらずに筋トレ語るな</t>
    <rPh sb="9" eb="10">
      <t>キン</t>
    </rPh>
    <rPh sb="12" eb="13">
      <t>カタ</t>
    </rPh>
    <phoneticPr fontId="10"/>
  </si>
  <si>
    <t>それ、筋肉が泣いてますよ</t>
    <rPh sb="3" eb="5">
      <t>キンニク</t>
    </rPh>
    <rPh sb="6" eb="7">
      <t>ナ</t>
    </rPh>
    <phoneticPr fontId="10"/>
  </si>
  <si>
    <t>筋肉置き換え表</t>
    <rPh sb="0" eb="2">
      <t>キンニク</t>
    </rPh>
    <rPh sb="2" eb="3">
      <t>オ</t>
    </rPh>
    <rPh sb="4" eb="5">
      <t>カ</t>
    </rPh>
    <rPh sb="6" eb="7">
      <t>ヒョウ</t>
    </rPh>
    <phoneticPr fontId="10"/>
  </si>
  <si>
    <t>また、タンパク質だけで満足してるでしょ</t>
    <rPh sb="7" eb="8">
      <t>シツ</t>
    </rPh>
    <rPh sb="11" eb="13">
      <t>マンゾク</t>
    </rPh>
    <phoneticPr fontId="10"/>
  </si>
  <si>
    <t>やりがちなNG食習慣</t>
    <rPh sb="7" eb="10">
      <t>ショクシュウカン</t>
    </rPh>
    <phoneticPr fontId="10"/>
  </si>
  <si>
    <t>「口だけ筋トレ男子」がバレる瞬間10選</t>
    <rPh sb="1" eb="2">
      <t>クチ</t>
    </rPh>
    <rPh sb="4" eb="5">
      <t>キン</t>
    </rPh>
    <rPh sb="7" eb="9">
      <t>ダンシ</t>
    </rPh>
    <rPh sb="14" eb="16">
      <t>シュンカン</t>
    </rPh>
    <rPh sb="18" eb="19">
      <t>セン</t>
    </rPh>
    <phoneticPr fontId="10"/>
  </si>
  <si>
    <t>同じ筋トレしてるのに差がつく理由</t>
    <rPh sb="0" eb="1">
      <t>オナ</t>
    </rPh>
    <rPh sb="2" eb="3">
      <t>キン</t>
    </rPh>
    <rPh sb="10" eb="11">
      <t>サ</t>
    </rPh>
    <rPh sb="14" eb="16">
      <t>リユウ</t>
    </rPh>
    <phoneticPr fontId="10"/>
  </si>
  <si>
    <t>0;14</t>
    <phoneticPr fontId="10"/>
  </si>
  <si>
    <t>なぜ、あの人だけは続けられるのか</t>
    <rPh sb="5" eb="6">
      <t>ヒト</t>
    </rPh>
    <rPh sb="9" eb="10">
      <t>ツヅ</t>
    </rPh>
    <phoneticPr fontId="10"/>
  </si>
  <si>
    <t>筋トレ民の正しい食材の選び方</t>
    <rPh sb="0" eb="1">
      <t>キン</t>
    </rPh>
    <rPh sb="3" eb="4">
      <t>ミン</t>
    </rPh>
    <rPh sb="5" eb="6">
      <t>タダ</t>
    </rPh>
    <rPh sb="8" eb="10">
      <t>ショクザイ</t>
    </rPh>
    <rPh sb="11" eb="12">
      <t>エラ</t>
    </rPh>
    <rPh sb="13" eb="14">
      <t>カタ</t>
    </rPh>
    <phoneticPr fontId="10"/>
  </si>
  <si>
    <t>本気で変わりたいなら「朝6時の習慣」を変えろ</t>
    <rPh sb="0" eb="2">
      <t>ホンキ</t>
    </rPh>
    <rPh sb="3" eb="4">
      <t>カ</t>
    </rPh>
    <rPh sb="11" eb="12">
      <t>アサ</t>
    </rPh>
    <rPh sb="13" eb="14">
      <t>ジ</t>
    </rPh>
    <rPh sb="15" eb="17">
      <t>シュウカン</t>
    </rPh>
    <rPh sb="19" eb="20">
      <t>カ</t>
    </rPh>
    <phoneticPr fontId="10"/>
  </si>
  <si>
    <t>行動した日より「やめなかった日」が人生を変えた</t>
    <rPh sb="0" eb="2">
      <t>コウドウ</t>
    </rPh>
    <rPh sb="4" eb="5">
      <t>ヒ</t>
    </rPh>
    <rPh sb="14" eb="15">
      <t>ヒ</t>
    </rPh>
    <rPh sb="17" eb="19">
      <t>ジンセイ</t>
    </rPh>
    <rPh sb="20" eb="21">
      <t>カ</t>
    </rPh>
    <phoneticPr fontId="10"/>
  </si>
  <si>
    <t>回復を変えたら筋肉が変わった</t>
    <rPh sb="0" eb="2">
      <t>カイフク</t>
    </rPh>
    <rPh sb="3" eb="4">
      <t>カ</t>
    </rPh>
    <rPh sb="7" eb="9">
      <t>キンニク</t>
    </rPh>
    <rPh sb="10" eb="11">
      <t>カ</t>
    </rPh>
    <phoneticPr fontId="10"/>
  </si>
  <si>
    <t>体が変わらない人大体これやってる</t>
    <rPh sb="0" eb="1">
      <t>カラダ</t>
    </rPh>
    <rPh sb="2" eb="3">
      <t>カ</t>
    </rPh>
    <rPh sb="7" eb="8">
      <t>ヒト</t>
    </rPh>
    <rPh sb="8" eb="10">
      <t>ダイタイ</t>
    </rPh>
    <phoneticPr fontId="10"/>
  </si>
  <si>
    <t>ベンチプレスだけじゃ胸はでかくならない</t>
    <rPh sb="10" eb="11">
      <t>ムネ</t>
    </rPh>
    <phoneticPr fontId="10"/>
  </si>
  <si>
    <t>最初は見た目を変えたくて始めたでも、それだけじゃなった</t>
    <rPh sb="0" eb="2">
      <t>サイショ</t>
    </rPh>
    <rPh sb="3" eb="4">
      <t>ミ</t>
    </rPh>
    <rPh sb="5" eb="6">
      <t>メ</t>
    </rPh>
    <rPh sb="7" eb="8">
      <t>カ</t>
    </rPh>
    <rPh sb="12" eb="13">
      <t>ハジ</t>
    </rPh>
    <phoneticPr fontId="10"/>
  </si>
  <si>
    <t>筋トレしてるのに伸びない人これやってない？</t>
    <rPh sb="0" eb="1">
      <t>キン</t>
    </rPh>
    <rPh sb="8" eb="9">
      <t>ノ</t>
    </rPh>
    <rPh sb="12" eb="13">
      <t>ヒト</t>
    </rPh>
    <phoneticPr fontId="10"/>
  </si>
  <si>
    <t>筋トレ前、何をたべるかで”パフォーマンス”が変わる</t>
    <rPh sb="0" eb="1">
      <t>キン</t>
    </rPh>
    <rPh sb="3" eb="4">
      <t>マエ</t>
    </rPh>
    <rPh sb="5" eb="6">
      <t>ナニ</t>
    </rPh>
    <rPh sb="22" eb="23">
      <t>カ</t>
    </rPh>
    <phoneticPr fontId="10"/>
  </si>
  <si>
    <t>意外と間違えている考え方</t>
    <rPh sb="0" eb="2">
      <t>イガイ</t>
    </rPh>
    <rPh sb="3" eb="5">
      <t>マチガ</t>
    </rPh>
    <rPh sb="9" eb="10">
      <t>カンガ</t>
    </rPh>
    <rPh sb="11" eb="12">
      <t>カタ</t>
    </rPh>
    <phoneticPr fontId="10"/>
  </si>
  <si>
    <t>たった1種目変えるだけで体はここまで変わる</t>
    <rPh sb="4" eb="6">
      <t>シュモク</t>
    </rPh>
    <rPh sb="6" eb="7">
      <t>カ</t>
    </rPh>
    <rPh sb="12" eb="13">
      <t>カラダ</t>
    </rPh>
    <rPh sb="18" eb="19">
      <t>カ</t>
    </rPh>
    <phoneticPr fontId="10"/>
  </si>
  <si>
    <t>【筋肉をつけたい人の為の紙リスト】</t>
    <rPh sb="1" eb="3">
      <t>キンニク</t>
    </rPh>
    <rPh sb="8" eb="9">
      <t>ヒト</t>
    </rPh>
    <rPh sb="10" eb="11">
      <t>タメ</t>
    </rPh>
    <rPh sb="12" eb="13">
      <t>カミ</t>
    </rPh>
    <phoneticPr fontId="10"/>
  </si>
  <si>
    <r>
      <rPr>
        <sz val="10"/>
        <color theme="1"/>
        <rFont val="ＭＳ Ｐゴシック"/>
        <family val="3"/>
        <charset val="128"/>
      </rPr>
      <t>日付</t>
    </r>
  </si>
  <si>
    <r>
      <rPr>
        <sz val="10"/>
        <color theme="1"/>
        <rFont val="ＭＳ Ｐゴシック"/>
        <family val="3"/>
        <charset val="128"/>
      </rPr>
      <t>全てのコンテンツ</t>
    </r>
    <rPh sb="0" eb="1">
      <t>スベ</t>
    </rPh>
    <phoneticPr fontId="10"/>
  </si>
  <si>
    <r>
      <rPr>
        <sz val="10"/>
        <color theme="1"/>
        <rFont val="ＭＳ Ｐゴシック"/>
        <family val="3"/>
        <charset val="128"/>
      </rPr>
      <t>コンテンツ別閲覧</t>
    </r>
    <rPh sb="5" eb="6">
      <t>ベツ</t>
    </rPh>
    <rPh sb="6" eb="8">
      <t>エツラン</t>
    </rPh>
    <phoneticPr fontId="10"/>
  </si>
  <si>
    <r>
      <rPr>
        <sz val="10"/>
        <color theme="1"/>
        <rFont val="ＭＳ Ｐゴシック"/>
        <family val="3"/>
        <charset val="128"/>
      </rPr>
      <t>コンテンツ別インタラクション</t>
    </r>
    <rPh sb="5" eb="6">
      <t>ベツ</t>
    </rPh>
    <phoneticPr fontId="10"/>
  </si>
  <si>
    <r>
      <rPr>
        <sz val="10"/>
        <color theme="1"/>
        <rFont val="ＭＳ Ｐゴシック"/>
        <family val="3"/>
        <charset val="128"/>
      </rPr>
      <t>プロフィールのアクティビティ</t>
    </r>
    <phoneticPr fontId="10"/>
  </si>
  <si>
    <r>
      <t>DM</t>
    </r>
    <r>
      <rPr>
        <sz val="10"/>
        <color theme="1"/>
        <rFont val="ＭＳ Ｐゴシック"/>
        <family val="3"/>
        <charset val="128"/>
      </rPr>
      <t>数</t>
    </r>
  </si>
  <si>
    <r>
      <rPr>
        <sz val="10"/>
        <color theme="1"/>
        <rFont val="ＭＳ Ｐゴシック"/>
        <family val="3"/>
        <charset val="128"/>
      </rPr>
      <t>リール視聴維持率</t>
    </r>
    <r>
      <rPr>
        <sz val="10"/>
        <color theme="1"/>
        <rFont val="Arial"/>
        <family val="2"/>
      </rPr>
      <t>(</t>
    </r>
    <r>
      <rPr>
        <sz val="10"/>
        <color theme="1"/>
        <rFont val="ＭＳ Ｐゴシック"/>
        <family val="3"/>
        <charset val="128"/>
      </rPr>
      <t>対象投稿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</si>
  <si>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ＭＳ Ｐゴシック"/>
        <family val="3"/>
        <charset val="128"/>
      </rPr>
      <t>メモ</t>
    </r>
  </si>
  <si>
    <r>
      <rPr>
        <sz val="10"/>
        <color theme="1"/>
        <rFont val="ＭＳ Ｐゴシック"/>
        <family val="3"/>
        <charset val="128"/>
      </rPr>
      <t>閲覧数</t>
    </r>
  </si>
  <si>
    <r>
      <rPr>
        <sz val="10"/>
        <color theme="1"/>
        <rFont val="ＭＳ Ｐゴシック"/>
        <family val="3"/>
        <charset val="128"/>
      </rPr>
      <t>閲覧者数</t>
    </r>
  </si>
  <si>
    <r>
      <rPr>
        <sz val="10"/>
        <color theme="1"/>
        <rFont val="ＭＳ Ｐゴシック"/>
        <family val="3"/>
        <charset val="128"/>
      </rPr>
      <t>閲覧（フォロワー）</t>
    </r>
    <phoneticPr fontId="10"/>
  </si>
  <si>
    <r>
      <rPr>
        <sz val="10"/>
        <color theme="1"/>
        <rFont val="ＭＳ Ｐゴシック"/>
        <family val="3"/>
        <charset val="128"/>
      </rPr>
      <t>閲覧（フォロワー以外）</t>
    </r>
    <rPh sb="8" eb="10">
      <t>イガイ</t>
    </rPh>
    <phoneticPr fontId="10"/>
  </si>
  <si>
    <r>
      <rPr>
        <sz val="10"/>
        <rFont val="ＭＳ Ｐゴシック"/>
        <family val="2"/>
        <charset val="128"/>
      </rPr>
      <t>フォロー数</t>
    </r>
    <rPh sb="4" eb="5">
      <t>スウ</t>
    </rPh>
    <phoneticPr fontId="10"/>
  </si>
  <si>
    <r>
      <rPr>
        <sz val="10"/>
        <color theme="1"/>
        <rFont val="ＭＳ Ｐゴシック"/>
        <family val="3"/>
        <charset val="128"/>
      </rPr>
      <t>純フォロワー増減</t>
    </r>
  </si>
  <si>
    <r>
      <rPr>
        <sz val="10"/>
        <color theme="1"/>
        <rFont val="ＭＳ Ｐゴシック"/>
        <family val="3"/>
        <charset val="128"/>
      </rPr>
      <t>フォロバ率</t>
    </r>
    <rPh sb="4" eb="5">
      <t>リツ</t>
    </rPh>
    <phoneticPr fontId="10"/>
  </si>
  <si>
    <r>
      <rPr>
        <sz val="10"/>
        <color theme="1"/>
        <rFont val="ＭＳ Ｐゴシック"/>
        <family val="3"/>
        <charset val="128"/>
      </rPr>
      <t>インタラクション数</t>
    </r>
    <phoneticPr fontId="10"/>
  </si>
  <si>
    <r>
      <rPr>
        <sz val="10"/>
        <color theme="1"/>
        <rFont val="ＭＳ Ｐゴシック"/>
        <family val="3"/>
        <charset val="128"/>
      </rPr>
      <t>ストーリーズ</t>
    </r>
  </si>
  <si>
    <r>
      <rPr>
        <sz val="10"/>
        <color theme="1"/>
        <rFont val="ＭＳ Ｐゴシック"/>
        <family val="3"/>
        <charset val="128"/>
      </rPr>
      <t>リール</t>
    </r>
  </si>
  <si>
    <r>
      <rPr>
        <sz val="10"/>
        <color theme="1"/>
        <rFont val="ＭＳ Ｐゴシック"/>
        <family val="3"/>
        <charset val="128"/>
      </rPr>
      <t>投稿</t>
    </r>
  </si>
  <si>
    <r>
      <rPr>
        <sz val="10"/>
        <color theme="1"/>
        <rFont val="ＭＳ Ｐゴシック"/>
        <family val="3"/>
        <charset val="128"/>
      </rPr>
      <t>ライブ</t>
    </r>
  </si>
  <si>
    <r>
      <rPr>
        <sz val="10"/>
        <color theme="1"/>
        <rFont val="ＭＳ Ｐゴシック"/>
        <family val="3"/>
        <charset val="128"/>
      </rPr>
      <t>プロフィール</t>
    </r>
  </si>
  <si>
    <r>
      <rPr>
        <sz val="10"/>
        <color theme="1"/>
        <rFont val="ＭＳ Ｐゴシック"/>
        <family val="3"/>
        <charset val="128"/>
      </rPr>
      <t>自己紹介</t>
    </r>
  </si>
  <si>
    <r>
      <rPr>
        <sz val="10"/>
        <color theme="1"/>
        <rFont val="ＭＳ Ｐゴシック"/>
        <family val="3"/>
        <charset val="128"/>
      </rPr>
      <t>ビジネス住所タップ数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</si>
</sst>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/d;@"/>
    <numFmt numFmtId="177" formatCode="0.0%"/>
    <numFmt numFmtId="178" formatCode="0.0"/>
    <numFmt numFmtId="179" formatCode="#,##0.0;[Red]\-#,##0.0"/>
  </numFmts>
  <fonts count="16" x14ac:knownFonts="1">
    <font>
      <sz val="11"/>
      <color theme="1"/>
      <name val="ＭＳ Ｐゴシック"/>
      <family val="2"/>
      <scheme val="minor"/>
    </font>
    <font>
      <b/>
      <sz val="16"/>
      <color rgb="FF4B2FE0"/>
      <name val="Arial"/>
      <family val="2"/>
    </font>
    <font>
      <i/>
      <sz val="10"/>
      <color rgb="FF6B728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9"/>
      <color rgb="FF808080"/>
      <name val="Arial"/>
      <family val="2"/>
    </font>
    <font>
      <b/>
      <sz val="10"/>
      <color rgb="FFFFFFFF"/>
      <name val="Arial"/>
      <family val="2"/>
    </font>
    <font>
      <b/>
      <sz val="13"/>
      <color rgb="FF4B2FE0"/>
      <name val="Arial"/>
      <family val="2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sz val="10"/>
      <color theme="1"/>
      <name val="Arial"/>
      <family val="2"/>
    </font>
    <font>
      <sz val="10"/>
      <color theme="1"/>
      <name val="ＭＳ Ｐゴシック"/>
      <family val="3"/>
      <charset val="128"/>
    </font>
    <font>
      <sz val="11"/>
      <color theme="1"/>
      <name val="Arial"/>
      <family val="2"/>
    </font>
    <font>
      <sz val="10"/>
      <name val="ＭＳ Ｐゴシック"/>
      <family val="2"/>
      <charset val="128"/>
    </font>
    <font>
      <sz val="10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2F0FF"/>
        <bgColor rgb="FFF2F0FF"/>
      </patternFill>
    </fill>
    <fill>
      <patternFill patternType="solid">
        <fgColor rgb="FF4B2FE0"/>
        <bgColor rgb="FF4B2FE0"/>
      </patternFill>
    </fill>
    <fill>
      <patternFill patternType="solid">
        <fgColor rgb="FFFDEAEA"/>
        <bgColor rgb="FFFDEAEA"/>
      </patternFill>
    </fill>
    <fill>
      <patternFill patternType="solid">
        <fgColor rgb="FFEAFBF0"/>
        <bgColor rgb="FFEAFBF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rgb="FF4B2FE0"/>
      </patternFill>
    </fill>
    <fill>
      <patternFill patternType="solid">
        <fgColor theme="3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38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6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14" fontId="0" fillId="0" borderId="2" xfId="0" applyNumberFormat="1" applyBorder="1" applyAlignment="1">
      <alignment horizontal="right"/>
    </xf>
    <xf numFmtId="20" fontId="0" fillId="0" borderId="2" xfId="0" applyNumberFormat="1" applyBorder="1" applyAlignment="1">
      <alignment horizontal="right"/>
    </xf>
    <xf numFmtId="176" fontId="0" fillId="0" borderId="2" xfId="0" applyNumberFormat="1" applyBorder="1" applyAlignment="1">
      <alignment horizontal="right"/>
    </xf>
    <xf numFmtId="9" fontId="0" fillId="0" borderId="2" xfId="2" applyFont="1" applyBorder="1" applyAlignment="1">
      <alignment horizontal="right"/>
    </xf>
    <xf numFmtId="177" fontId="0" fillId="0" borderId="2" xfId="2" applyNumberFormat="1" applyFont="1" applyBorder="1" applyAlignment="1">
      <alignment horizontal="right"/>
    </xf>
    <xf numFmtId="38" fontId="0" fillId="0" borderId="2" xfId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77" fontId="0" fillId="6" borderId="2" xfId="2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38" fontId="0" fillId="6" borderId="2" xfId="1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176" fontId="4" fillId="0" borderId="2" xfId="0" applyNumberFormat="1" applyFont="1" applyBorder="1" applyAlignment="1">
      <alignment horizontal="right" wrapText="1"/>
    </xf>
    <xf numFmtId="38" fontId="4" fillId="0" borderId="2" xfId="1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38" fontId="13" fillId="0" borderId="2" xfId="1" applyFont="1" applyBorder="1" applyAlignment="1">
      <alignment horizontal="right"/>
    </xf>
    <xf numFmtId="0" fontId="13" fillId="0" borderId="2" xfId="0" applyFont="1" applyBorder="1" applyAlignment="1">
      <alignment horizontal="right"/>
    </xf>
    <xf numFmtId="176" fontId="13" fillId="0" borderId="2" xfId="0" applyNumberFormat="1" applyFont="1" applyBorder="1" applyAlignment="1">
      <alignment horizontal="right"/>
    </xf>
    <xf numFmtId="177" fontId="4" fillId="0" borderId="2" xfId="2" applyNumberFormat="1" applyFont="1" applyBorder="1" applyAlignment="1">
      <alignment horizontal="right" wrapText="1"/>
    </xf>
    <xf numFmtId="38" fontId="4" fillId="0" borderId="1" xfId="0" applyNumberFormat="1" applyFont="1" applyBorder="1" applyAlignment="1">
      <alignment horizontal="center" vertical="center" wrapText="1"/>
    </xf>
    <xf numFmtId="179" fontId="4" fillId="0" borderId="1" xfId="0" applyNumberFormat="1" applyFont="1" applyBorder="1" applyAlignment="1">
      <alignment horizontal="center" vertical="center" wrapText="1"/>
    </xf>
    <xf numFmtId="0" fontId="0" fillId="0" borderId="0" xfId="0" applyAlignment="1"/>
    <xf numFmtId="178" fontId="4" fillId="0" borderId="1" xfId="0" applyNumberFormat="1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13" fillId="8" borderId="2" xfId="0" applyFont="1" applyFill="1" applyBorder="1" applyAlignment="1">
      <alignment horizontal="right" vertical="center"/>
    </xf>
    <xf numFmtId="38" fontId="11" fillId="7" borderId="2" xfId="1" applyFont="1" applyFill="1" applyBorder="1" applyAlignment="1">
      <alignment horizontal="right" vertical="center" wrapText="1"/>
    </xf>
    <xf numFmtId="0" fontId="11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13" fillId="0" borderId="0" xfId="0" applyFont="1"/>
    <xf numFmtId="0" fontId="15" fillId="3" borderId="1" xfId="0" applyFont="1" applyFill="1" applyBorder="1" applyAlignment="1">
      <alignment horizontal="center" vertical="center" wrapText="1"/>
    </xf>
    <xf numFmtId="55" fontId="4" fillId="0" borderId="1" xfId="0" applyNumberFormat="1" applyFont="1" applyBorder="1" applyAlignment="1">
      <alignment horizontal="center" vertical="center" wrapText="1"/>
    </xf>
    <xf numFmtId="0" fontId="0" fillId="0" borderId="0" xfId="0" applyFont="1"/>
    <xf numFmtId="0" fontId="5" fillId="0" borderId="0" xfId="0" applyFont="1" applyAlignment="1">
      <alignment vertical="top" wrapText="1"/>
    </xf>
    <xf numFmtId="0" fontId="0" fillId="0" borderId="0" xfId="0"/>
    <xf numFmtId="0" fontId="7" fillId="0" borderId="0" xfId="0" applyFont="1"/>
    <xf numFmtId="176" fontId="0" fillId="6" borderId="2" xfId="0" applyNumberForma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77" fontId="0" fillId="6" borderId="2" xfId="2" applyNumberFormat="1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 wrapText="1"/>
    </xf>
    <xf numFmtId="0" fontId="11" fillId="7" borderId="7" xfId="0" applyFont="1" applyFill="1" applyBorder="1" applyAlignment="1">
      <alignment horizontal="center" vertical="center" wrapText="1"/>
    </xf>
    <xf numFmtId="176" fontId="11" fillId="7" borderId="6" xfId="0" applyNumberFormat="1" applyFont="1" applyFill="1" applyBorder="1" applyAlignment="1">
      <alignment horizontal="center" vertical="center" wrapText="1"/>
    </xf>
    <xf numFmtId="176" fontId="11" fillId="7" borderId="7" xfId="0" applyNumberFormat="1" applyFont="1" applyFill="1" applyBorder="1" applyAlignment="1">
      <alignment horizontal="center" vertical="center" wrapText="1"/>
    </xf>
    <xf numFmtId="38" fontId="11" fillId="7" borderId="3" xfId="1" applyFont="1" applyFill="1" applyBorder="1" applyAlignment="1">
      <alignment horizontal="center" vertical="center" wrapText="1"/>
    </xf>
    <xf numFmtId="38" fontId="11" fillId="7" borderId="4" xfId="1" applyFont="1" applyFill="1" applyBorder="1" applyAlignment="1">
      <alignment horizontal="center" vertical="center" wrapText="1"/>
    </xf>
    <xf numFmtId="38" fontId="11" fillId="7" borderId="5" xfId="1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 wrapText="1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activeCell="A25" sqref="A25"/>
    </sheetView>
  </sheetViews>
  <sheetFormatPr defaultColWidth="8.875" defaultRowHeight="13.5" x14ac:dyDescent="0.15"/>
  <cols>
    <col min="1" max="1" width="34" customWidth="1"/>
    <col min="2" max="2" width="28" customWidth="1"/>
  </cols>
  <sheetData>
    <row r="1" spans="1:2" ht="20.25" x14ac:dyDescent="0.3">
      <c r="A1" s="1" t="s">
        <v>0</v>
      </c>
    </row>
    <row r="2" spans="1:2" ht="14.25" x14ac:dyDescent="0.2">
      <c r="A2" s="2" t="s">
        <v>1</v>
      </c>
    </row>
    <row r="4" spans="1:2" ht="20.100000000000001" customHeight="1" x14ac:dyDescent="0.2">
      <c r="A4" s="3" t="s">
        <v>2</v>
      </c>
      <c r="B4" s="4" t="s">
        <v>3</v>
      </c>
    </row>
    <row r="5" spans="1:2" ht="20.100000000000001" customHeight="1" x14ac:dyDescent="0.2">
      <c r="A5" s="3" t="s">
        <v>4</v>
      </c>
      <c r="B5" s="4" t="s">
        <v>5</v>
      </c>
    </row>
    <row r="6" spans="1:2" ht="20.100000000000001" customHeight="1" x14ac:dyDescent="0.2">
      <c r="A6" s="3" t="s">
        <v>6</v>
      </c>
      <c r="B6" s="4" t="s">
        <v>7</v>
      </c>
    </row>
    <row r="7" spans="1:2" ht="20.100000000000001" customHeight="1" x14ac:dyDescent="0.2">
      <c r="A7" s="3" t="s">
        <v>8</v>
      </c>
      <c r="B7" s="4" t="s">
        <v>9</v>
      </c>
    </row>
    <row r="8" spans="1:2" ht="20.100000000000001" customHeight="1" x14ac:dyDescent="0.2">
      <c r="A8" s="3" t="s">
        <v>10</v>
      </c>
      <c r="B8" s="4" t="s">
        <v>11</v>
      </c>
    </row>
    <row r="9" spans="1:2" ht="20.100000000000001" customHeight="1" x14ac:dyDescent="0.2">
      <c r="A9" s="3" t="s">
        <v>12</v>
      </c>
      <c r="B9" s="4" t="s">
        <v>13</v>
      </c>
    </row>
    <row r="12" spans="1:2" ht="30" customHeight="1" x14ac:dyDescent="0.15">
      <c r="A12" s="43" t="s">
        <v>14</v>
      </c>
      <c r="B12" s="44"/>
    </row>
  </sheetData>
  <mergeCells count="1">
    <mergeCell ref="A12:B12"/>
  </mergeCells>
  <phoneticPr fontId="10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"/>
  <sheetViews>
    <sheetView workbookViewId="0">
      <pane ySplit="1" topLeftCell="A2" activePane="bottomLeft" state="frozen"/>
      <selection pane="bottomLeft" activeCell="E20" sqref="E20"/>
    </sheetView>
  </sheetViews>
  <sheetFormatPr defaultColWidth="8.875" defaultRowHeight="13.5" x14ac:dyDescent="0.15"/>
  <cols>
    <col min="1" max="1" width="10" customWidth="1"/>
    <col min="2" max="2" width="7" customWidth="1"/>
    <col min="3" max="3" width="19.375" customWidth="1"/>
    <col min="4" max="4" width="12" customWidth="1"/>
    <col min="5" max="5" width="13" customWidth="1"/>
    <col min="6" max="6" width="15" customWidth="1"/>
    <col min="7" max="7" width="15.875" customWidth="1"/>
    <col min="8" max="8" width="20" customWidth="1"/>
    <col min="9" max="9" width="13" customWidth="1"/>
    <col min="10" max="10" width="11" customWidth="1"/>
  </cols>
  <sheetData>
    <row r="1" spans="1:10" s="39" customFormat="1" ht="32.25" customHeight="1" x14ac:dyDescent="0.2">
      <c r="A1" s="40" t="s">
        <v>15</v>
      </c>
      <c r="B1" s="40" t="s">
        <v>16</v>
      </c>
      <c r="C1" s="40" t="s">
        <v>17</v>
      </c>
      <c r="D1" s="40" t="s">
        <v>18</v>
      </c>
      <c r="E1" s="40" t="s">
        <v>19</v>
      </c>
      <c r="F1" s="40" t="s">
        <v>20</v>
      </c>
      <c r="G1" s="40" t="s">
        <v>21</v>
      </c>
      <c r="H1" s="40" t="s">
        <v>22</v>
      </c>
      <c r="I1" s="40" t="s">
        <v>23</v>
      </c>
      <c r="J1" s="40" t="s">
        <v>24</v>
      </c>
    </row>
    <row r="2" spans="1:10" s="39" customFormat="1" ht="20.100000000000001" customHeight="1" x14ac:dyDescent="0.2">
      <c r="A2" s="41">
        <v>46113</v>
      </c>
      <c r="B2" s="7">
        <v>30</v>
      </c>
      <c r="C2" s="30">
        <f t="shared" ref="C2:C4" si="0">D2/B2</f>
        <v>2566.5666666666666</v>
      </c>
      <c r="D2" s="30">
        <f>SUM('4月'!B3:B32)</f>
        <v>76997</v>
      </c>
      <c r="E2" s="30">
        <f>SUM('4月'!G3:G32)</f>
        <v>408</v>
      </c>
      <c r="F2" s="31">
        <f t="shared" ref="F2:F6" si="1">E2/B2</f>
        <v>13.6</v>
      </c>
      <c r="G2" s="33">
        <f>AVERAGE('4月'!I3:I32)</f>
        <v>18.466666666666665</v>
      </c>
      <c r="H2" s="34">
        <f>AVERAGE('4月'!R3:R32)</f>
        <v>321.26666666666665</v>
      </c>
      <c r="I2" s="30">
        <f>SUM('4月'!J3:J32)</f>
        <v>0</v>
      </c>
      <c r="J2" s="30">
        <f>SUM('4月'!K3:K32)</f>
        <v>0</v>
      </c>
    </row>
    <row r="3" spans="1:10" s="39" customFormat="1" ht="20.100000000000001" customHeight="1" x14ac:dyDescent="0.2">
      <c r="A3" s="41">
        <v>46143</v>
      </c>
      <c r="B3" s="7">
        <v>31</v>
      </c>
      <c r="C3" s="30">
        <f t="shared" si="0"/>
        <v>1846.0967741935483</v>
      </c>
      <c r="D3" s="30">
        <f>SUM('5月'!B3:B33)</f>
        <v>57229</v>
      </c>
      <c r="E3" s="30">
        <f>SUM('5月'!G3:G33)</f>
        <v>386</v>
      </c>
      <c r="F3" s="31">
        <f t="shared" ref="F3:F4" si="2">E3/B3</f>
        <v>12.451612903225806</v>
      </c>
      <c r="G3" s="33">
        <f>AVERAGE('7月'!I3:I33)</f>
        <v>19.70967741935484</v>
      </c>
      <c r="H3" s="34">
        <f>AVERAGE('5月'!R3:R33)</f>
        <v>308.87096774193549</v>
      </c>
      <c r="I3" s="30">
        <f>SUM('5月'!J3:J33)</f>
        <v>0</v>
      </c>
      <c r="J3" s="30">
        <f>SUM('5月'!K3:K33)</f>
        <v>0</v>
      </c>
    </row>
    <row r="4" spans="1:10" s="39" customFormat="1" ht="20.100000000000001" customHeight="1" x14ac:dyDescent="0.2">
      <c r="A4" s="41">
        <v>46174</v>
      </c>
      <c r="B4" s="7">
        <v>30</v>
      </c>
      <c r="C4" s="30">
        <f t="shared" si="0"/>
        <v>2251.3333333333335</v>
      </c>
      <c r="D4" s="30">
        <f>SUM('6月'!B3:B32)</f>
        <v>67540</v>
      </c>
      <c r="E4" s="30">
        <f>SUM('6月'!G3:G32)</f>
        <v>364</v>
      </c>
      <c r="F4" s="31">
        <f t="shared" si="2"/>
        <v>12.133333333333333</v>
      </c>
      <c r="G4" s="33">
        <f>AVERAGE('6月'!I3:I32)</f>
        <v>24.066666666666666</v>
      </c>
      <c r="H4" s="34">
        <f>AVERAGE('6月'!R3:R32)</f>
        <v>277.96666666666664</v>
      </c>
      <c r="I4" s="30">
        <f>SUM('6月'!J3:J32)</f>
        <v>0</v>
      </c>
      <c r="J4" s="30">
        <f>SUM('6月'!K3:K32)</f>
        <v>0</v>
      </c>
    </row>
    <row r="5" spans="1:10" s="39" customFormat="1" ht="20.100000000000001" customHeight="1" x14ac:dyDescent="0.2">
      <c r="A5" s="7" t="s">
        <v>25</v>
      </c>
      <c r="B5" s="7">
        <v>31</v>
      </c>
      <c r="C5" s="30">
        <f t="shared" ref="C5" si="3">D5/B5</f>
        <v>2180.4516129032259</v>
      </c>
      <c r="D5" s="30">
        <f>SUM('7月'!B3:B33)</f>
        <v>67594</v>
      </c>
      <c r="E5" s="30">
        <f>SUM('7月'!G3:G33)</f>
        <v>416</v>
      </c>
      <c r="F5" s="31">
        <f>E5/B5</f>
        <v>13.419354838709678</v>
      </c>
      <c r="G5" s="33">
        <f>AVERAGE('7月'!I3:I33)</f>
        <v>19.70967741935484</v>
      </c>
      <c r="H5" s="34">
        <f>AVERAGE('7月'!R3:R33)</f>
        <v>269.03225806451616</v>
      </c>
      <c r="I5" s="30">
        <f>SUM('7月'!J3:J33)</f>
        <v>42399</v>
      </c>
      <c r="J5" s="30">
        <f>SUM('7月'!K3:K33)</f>
        <v>15736</v>
      </c>
    </row>
    <row r="6" spans="1:10" s="39" customFormat="1" ht="20.100000000000001" customHeight="1" x14ac:dyDescent="0.2">
      <c r="A6" s="7" t="s">
        <v>26</v>
      </c>
      <c r="B6" s="7">
        <v>31</v>
      </c>
      <c r="C6" s="30">
        <f>D6/B6</f>
        <v>871.22580645161293</v>
      </c>
      <c r="D6" s="30">
        <f>SUM('8月'!B3:B33)</f>
        <v>27008</v>
      </c>
      <c r="E6" s="30">
        <f>SUM('8月'!G3:G33)</f>
        <v>172</v>
      </c>
      <c r="F6" s="31">
        <f t="shared" si="1"/>
        <v>5.5483870967741939</v>
      </c>
      <c r="G6" s="33">
        <f>AVERAGE('8月'!I3:I33)</f>
        <v>11.419354838709678</v>
      </c>
      <c r="H6" s="34">
        <f>AVERAGE('8月'!R3:R33)</f>
        <v>140.7741935483871</v>
      </c>
      <c r="I6" s="30">
        <f>SUM('8月'!J3:J33)</f>
        <v>22326</v>
      </c>
      <c r="J6" s="30">
        <f>SUM('8月'!K3:K33)</f>
        <v>4592</v>
      </c>
    </row>
    <row r="7" spans="1:10" s="39" customFormat="1" ht="20.100000000000001" customHeight="1" x14ac:dyDescent="0.2">
      <c r="A7" s="7" t="s">
        <v>27</v>
      </c>
      <c r="B7" s="7">
        <v>30</v>
      </c>
      <c r="C7" s="30">
        <f>D7/B7</f>
        <v>2018.0333333333333</v>
      </c>
      <c r="D7" s="30">
        <f>SUM('9月'!B3:B32)</f>
        <v>60541</v>
      </c>
      <c r="E7" s="30">
        <f>SUM('9月'!G3:G32)</f>
        <v>119</v>
      </c>
      <c r="F7" s="31">
        <f>E7/B7</f>
        <v>3.9666666666666668</v>
      </c>
      <c r="G7" s="33">
        <f>AVERAGE('9月'!I3:I32)</f>
        <v>21.666666666666668</v>
      </c>
      <c r="H7" s="34">
        <f>AVERAGE('9月'!R3:R32)</f>
        <v>131.86666666666667</v>
      </c>
      <c r="I7" s="30">
        <f>SUM('9月'!J3:J32)</f>
        <v>44658</v>
      </c>
      <c r="J7" s="30">
        <f>SUM('9月'!K3:K32)</f>
        <v>13219</v>
      </c>
    </row>
    <row r="10" spans="1:10" ht="14.25" customHeight="1" x14ac:dyDescent="0.15">
      <c r="A10" s="22"/>
      <c r="B10" s="32"/>
      <c r="C10" s="32"/>
      <c r="D10" s="32"/>
      <c r="E10" s="32"/>
      <c r="F10" s="32"/>
      <c r="G10" s="32"/>
      <c r="H10" s="32"/>
      <c r="I10" s="32"/>
      <c r="J10" s="32"/>
    </row>
  </sheetData>
  <phoneticPr fontId="10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>
      <pane ySplit="1" topLeftCell="A2" activePane="bottomLeft" state="frozen"/>
      <selection pane="bottomLeft" activeCell="E19" sqref="E19:E20"/>
    </sheetView>
  </sheetViews>
  <sheetFormatPr defaultColWidth="8.875" defaultRowHeight="13.5" x14ac:dyDescent="0.15"/>
  <cols>
    <col min="1" max="1" width="9" customWidth="1"/>
    <col min="2" max="2" width="11" customWidth="1"/>
    <col min="3" max="3" width="12" customWidth="1"/>
    <col min="4" max="4" width="15" customWidth="1"/>
    <col min="5" max="5" width="14" customWidth="1"/>
    <col min="6" max="6" width="12" customWidth="1"/>
    <col min="7" max="7" width="14" customWidth="1"/>
  </cols>
  <sheetData>
    <row r="1" spans="1:7" s="42" customFormat="1" ht="27.95" customHeight="1" x14ac:dyDescent="0.15">
      <c r="A1" s="40" t="s">
        <v>28</v>
      </c>
      <c r="B1" s="40" t="s">
        <v>29</v>
      </c>
      <c r="C1" s="40" t="s">
        <v>30</v>
      </c>
      <c r="D1" s="40" t="s">
        <v>31</v>
      </c>
      <c r="E1" s="40" t="s">
        <v>32</v>
      </c>
      <c r="F1" s="40" t="s">
        <v>33</v>
      </c>
      <c r="G1" s="40" t="s">
        <v>34</v>
      </c>
    </row>
    <row r="2" spans="1:7" s="42" customFormat="1" ht="20.100000000000001" customHeight="1" x14ac:dyDescent="0.15">
      <c r="A2" s="7" t="s">
        <v>15</v>
      </c>
      <c r="B2" s="7">
        <v>13</v>
      </c>
      <c r="C2" s="7">
        <v>2011</v>
      </c>
      <c r="D2" s="7">
        <v>10.199999999999999</v>
      </c>
      <c r="E2" s="7">
        <v>23.3</v>
      </c>
      <c r="F2" s="7">
        <v>378</v>
      </c>
      <c r="G2" s="7">
        <v>1494</v>
      </c>
    </row>
    <row r="3" spans="1:7" s="42" customFormat="1" ht="20.100000000000001" customHeight="1" x14ac:dyDescent="0.15">
      <c r="A3" s="7" t="s">
        <v>35</v>
      </c>
      <c r="B3" s="7">
        <v>13</v>
      </c>
      <c r="C3" s="7">
        <v>1851</v>
      </c>
      <c r="D3" s="7">
        <v>7.7</v>
      </c>
      <c r="E3" s="7">
        <v>20.100000000000001</v>
      </c>
      <c r="F3" s="7">
        <v>358</v>
      </c>
      <c r="G3" s="7">
        <v>1396</v>
      </c>
    </row>
    <row r="4" spans="1:7" s="42" customFormat="1" ht="20.100000000000001" customHeight="1" x14ac:dyDescent="0.15">
      <c r="A4" s="7" t="s">
        <v>36</v>
      </c>
      <c r="B4" s="7">
        <v>12</v>
      </c>
      <c r="C4" s="7">
        <v>1517</v>
      </c>
      <c r="D4" s="7">
        <v>8.8000000000000007</v>
      </c>
      <c r="E4" s="7">
        <v>15.4</v>
      </c>
      <c r="F4" s="7">
        <v>285</v>
      </c>
      <c r="G4" s="7">
        <v>1151</v>
      </c>
    </row>
    <row r="5" spans="1:7" s="42" customFormat="1" ht="20.100000000000001" customHeight="1" x14ac:dyDescent="0.15">
      <c r="A5" s="7" t="s">
        <v>37</v>
      </c>
      <c r="B5" s="7">
        <v>12</v>
      </c>
      <c r="C5" s="7">
        <v>1413</v>
      </c>
      <c r="D5" s="7">
        <v>6.8</v>
      </c>
      <c r="E5" s="7">
        <v>15.8</v>
      </c>
      <c r="F5" s="7">
        <v>351</v>
      </c>
      <c r="G5" s="7">
        <v>986</v>
      </c>
    </row>
    <row r="6" spans="1:7" s="42" customFormat="1" ht="20.100000000000001" customHeight="1" x14ac:dyDescent="0.15">
      <c r="A6" s="8" t="s">
        <v>38</v>
      </c>
      <c r="B6" s="8">
        <v>13</v>
      </c>
      <c r="C6" s="8">
        <v>1263</v>
      </c>
      <c r="D6" s="8">
        <v>6.4</v>
      </c>
      <c r="E6" s="8">
        <v>12.6</v>
      </c>
      <c r="F6" s="8">
        <v>239</v>
      </c>
      <c r="G6" s="8">
        <v>954</v>
      </c>
    </row>
    <row r="7" spans="1:7" s="42" customFormat="1" ht="20.100000000000001" customHeight="1" x14ac:dyDescent="0.15">
      <c r="A7" s="7" t="s">
        <v>39</v>
      </c>
      <c r="B7" s="7">
        <v>13</v>
      </c>
      <c r="C7" s="7">
        <v>1509</v>
      </c>
      <c r="D7" s="7">
        <v>6.2</v>
      </c>
      <c r="E7" s="7">
        <v>13.2</v>
      </c>
      <c r="F7" s="7">
        <v>365</v>
      </c>
      <c r="G7" s="7">
        <v>1012</v>
      </c>
    </row>
    <row r="8" spans="1:7" s="42" customFormat="1" ht="20.100000000000001" customHeight="1" x14ac:dyDescent="0.15">
      <c r="A8" s="10" t="s">
        <v>40</v>
      </c>
      <c r="B8" s="10">
        <v>13</v>
      </c>
      <c r="C8" s="10">
        <v>2021</v>
      </c>
      <c r="D8" s="10">
        <v>6.9</v>
      </c>
      <c r="E8" s="10">
        <v>21.3</v>
      </c>
      <c r="F8" s="10">
        <v>541</v>
      </c>
      <c r="G8" s="10">
        <v>1447</v>
      </c>
    </row>
    <row r="11" spans="1:7" ht="11.25" customHeight="1" x14ac:dyDescent="0.15">
      <c r="A11" s="22"/>
      <c r="B11" s="32"/>
      <c r="C11" s="32"/>
      <c r="D11" s="32"/>
      <c r="E11" s="32"/>
      <c r="F11" s="32"/>
      <c r="G11" s="32"/>
    </row>
  </sheetData>
  <phoneticPr fontId="10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7"/>
  <sheetViews>
    <sheetView workbookViewId="0">
      <pane ySplit="1" topLeftCell="A2" activePane="bottomLeft" state="frozen"/>
      <selection pane="bottomLeft" activeCell="K4" sqref="K4"/>
    </sheetView>
  </sheetViews>
  <sheetFormatPr defaultColWidth="8.875" defaultRowHeight="13.5" x14ac:dyDescent="0.15"/>
  <cols>
    <col min="1" max="1" width="8" customWidth="1"/>
    <col min="2" max="3" width="12" customWidth="1"/>
    <col min="4" max="4" width="13" customWidth="1"/>
    <col min="5" max="6" width="15" customWidth="1"/>
    <col min="7" max="7" width="14" customWidth="1"/>
  </cols>
  <sheetData>
    <row r="1" spans="1:7" ht="27.95" customHeight="1" x14ac:dyDescent="0.15">
      <c r="A1" s="5" t="s">
        <v>41</v>
      </c>
      <c r="B1" s="5" t="s">
        <v>42</v>
      </c>
      <c r="C1" s="5" t="s">
        <v>30</v>
      </c>
      <c r="D1" s="5" t="s">
        <v>33</v>
      </c>
      <c r="E1" s="5" t="s">
        <v>34</v>
      </c>
      <c r="F1" s="5" t="s">
        <v>31</v>
      </c>
      <c r="G1" s="5" t="s">
        <v>32</v>
      </c>
    </row>
    <row r="2" spans="1:7" s="42" customFormat="1" ht="20.100000000000001" customHeight="1" x14ac:dyDescent="0.15">
      <c r="A2" s="7" t="s">
        <v>43</v>
      </c>
      <c r="B2" s="7" t="s">
        <v>44</v>
      </c>
      <c r="C2" s="7">
        <v>3308</v>
      </c>
      <c r="D2" s="7">
        <v>944</v>
      </c>
      <c r="E2" s="7">
        <v>1992</v>
      </c>
      <c r="F2" s="7">
        <v>23.3</v>
      </c>
      <c r="G2" s="7">
        <v>28.9</v>
      </c>
    </row>
    <row r="3" spans="1:7" s="42" customFormat="1" ht="20.100000000000001" customHeight="1" x14ac:dyDescent="0.15">
      <c r="A3" s="7" t="s">
        <v>45</v>
      </c>
      <c r="B3" s="7" t="s">
        <v>46</v>
      </c>
      <c r="C3" s="7">
        <v>2453</v>
      </c>
      <c r="D3" s="7">
        <v>644</v>
      </c>
      <c r="E3" s="7">
        <v>1540</v>
      </c>
      <c r="F3" s="7">
        <v>18.100000000000001</v>
      </c>
      <c r="G3" s="7">
        <v>16.399999999999999</v>
      </c>
    </row>
    <row r="4" spans="1:7" s="42" customFormat="1" ht="20.100000000000001" customHeight="1" x14ac:dyDescent="0.15">
      <c r="A4" s="7" t="s">
        <v>47</v>
      </c>
      <c r="B4" s="7" t="s">
        <v>48</v>
      </c>
      <c r="C4" s="7">
        <v>1884</v>
      </c>
      <c r="D4" s="7">
        <v>326</v>
      </c>
      <c r="E4" s="7">
        <v>1462</v>
      </c>
      <c r="F4" s="7">
        <v>9</v>
      </c>
      <c r="G4" s="7">
        <v>20.9</v>
      </c>
    </row>
    <row r="5" spans="1:7" s="42" customFormat="1" ht="20.100000000000001" customHeight="1" x14ac:dyDescent="0.15">
      <c r="A5" s="7" t="s">
        <v>49</v>
      </c>
      <c r="B5" s="7" t="s">
        <v>50</v>
      </c>
      <c r="C5" s="7">
        <v>1413</v>
      </c>
      <c r="D5" s="7">
        <v>326</v>
      </c>
      <c r="E5" s="7">
        <v>1046</v>
      </c>
      <c r="F5" s="7">
        <v>5</v>
      </c>
      <c r="G5" s="7">
        <v>16</v>
      </c>
    </row>
    <row r="6" spans="1:7" s="42" customFormat="1" ht="20.100000000000001" customHeight="1" x14ac:dyDescent="0.15">
      <c r="A6" s="7" t="s">
        <v>51</v>
      </c>
      <c r="B6" s="7" t="s">
        <v>52</v>
      </c>
      <c r="C6" s="7">
        <v>1439</v>
      </c>
      <c r="D6" s="7">
        <v>157</v>
      </c>
      <c r="E6" s="7">
        <v>1254</v>
      </c>
      <c r="F6" s="7">
        <v>5.9</v>
      </c>
      <c r="G6" s="7">
        <v>20.9</v>
      </c>
    </row>
    <row r="7" spans="1:7" s="42" customFormat="1" ht="20.100000000000001" customHeight="1" x14ac:dyDescent="0.15">
      <c r="A7" s="7" t="s">
        <v>53</v>
      </c>
      <c r="B7" s="7" t="s">
        <v>54</v>
      </c>
      <c r="C7" s="7">
        <v>1457</v>
      </c>
      <c r="D7" s="7">
        <v>236</v>
      </c>
      <c r="E7" s="7">
        <v>1143</v>
      </c>
      <c r="F7" s="7">
        <v>5.6</v>
      </c>
      <c r="G7" s="7">
        <v>15.7</v>
      </c>
    </row>
    <row r="8" spans="1:7" s="42" customFormat="1" ht="20.100000000000001" customHeight="1" x14ac:dyDescent="0.15">
      <c r="A8" s="8" t="s">
        <v>55</v>
      </c>
      <c r="B8" s="8" t="s">
        <v>56</v>
      </c>
      <c r="C8" s="8">
        <v>340</v>
      </c>
      <c r="D8" s="8">
        <v>150</v>
      </c>
      <c r="E8" s="8">
        <v>317</v>
      </c>
      <c r="F8" s="8">
        <v>4.9000000000000004</v>
      </c>
      <c r="G8" s="8">
        <v>4.0999999999999996</v>
      </c>
    </row>
    <row r="9" spans="1:7" s="42" customFormat="1" ht="20.100000000000001" customHeight="1" x14ac:dyDescent="0.15">
      <c r="A9" s="8" t="s">
        <v>57</v>
      </c>
      <c r="B9" s="8" t="s">
        <v>58</v>
      </c>
      <c r="C9" s="8">
        <v>208</v>
      </c>
      <c r="D9" s="8">
        <v>60</v>
      </c>
      <c r="E9" s="8">
        <v>124</v>
      </c>
      <c r="F9" s="8">
        <v>6.9</v>
      </c>
      <c r="G9" s="8">
        <v>3.3</v>
      </c>
    </row>
    <row r="10" spans="1:7" s="42" customFormat="1" ht="20.100000000000001" customHeight="1" x14ac:dyDescent="0.15">
      <c r="A10" s="7" t="s">
        <v>59</v>
      </c>
      <c r="B10" s="7" t="s">
        <v>60</v>
      </c>
      <c r="C10" s="7">
        <v>1449</v>
      </c>
      <c r="D10" s="7">
        <v>148</v>
      </c>
      <c r="E10" s="7">
        <v>1252</v>
      </c>
      <c r="F10" s="7">
        <v>7.3</v>
      </c>
      <c r="G10" s="7">
        <v>21</v>
      </c>
    </row>
    <row r="11" spans="1:7" s="42" customFormat="1" ht="20.100000000000001" customHeight="1" x14ac:dyDescent="0.15">
      <c r="A11" s="7" t="s">
        <v>61</v>
      </c>
      <c r="B11" s="7" t="s">
        <v>62</v>
      </c>
      <c r="C11" s="7">
        <v>816</v>
      </c>
      <c r="D11" s="7">
        <v>143</v>
      </c>
      <c r="E11" s="7">
        <v>610</v>
      </c>
      <c r="F11" s="7">
        <v>11.7</v>
      </c>
      <c r="G11" s="7">
        <v>12.7</v>
      </c>
    </row>
    <row r="12" spans="1:7" s="42" customFormat="1" ht="20.100000000000001" customHeight="1" x14ac:dyDescent="0.15">
      <c r="A12" s="7" t="s">
        <v>63</v>
      </c>
      <c r="B12" s="7" t="s">
        <v>64</v>
      </c>
      <c r="C12" s="7">
        <v>1052</v>
      </c>
      <c r="D12" s="7">
        <v>118</v>
      </c>
      <c r="E12" s="7">
        <v>907</v>
      </c>
      <c r="F12" s="7">
        <v>2.7</v>
      </c>
      <c r="G12" s="7">
        <v>12.3</v>
      </c>
    </row>
    <row r="13" spans="1:7" s="42" customFormat="1" ht="20.100000000000001" customHeight="1" x14ac:dyDescent="0.15">
      <c r="A13" s="7" t="s">
        <v>65</v>
      </c>
      <c r="B13" s="7" t="s">
        <v>66</v>
      </c>
      <c r="C13" s="7">
        <v>2156</v>
      </c>
      <c r="D13" s="7">
        <v>389</v>
      </c>
      <c r="E13" s="7">
        <v>1739</v>
      </c>
      <c r="F13" s="7">
        <v>-2</v>
      </c>
      <c r="G13" s="7">
        <v>18.7</v>
      </c>
    </row>
    <row r="14" spans="1:7" s="42" customFormat="1" ht="20.100000000000001" customHeight="1" x14ac:dyDescent="0.15">
      <c r="A14" s="10" t="s">
        <v>67</v>
      </c>
      <c r="B14" s="10" t="s">
        <v>68</v>
      </c>
      <c r="C14" s="10">
        <v>4368</v>
      </c>
      <c r="D14" s="10">
        <v>1321</v>
      </c>
      <c r="E14" s="10">
        <v>2775</v>
      </c>
      <c r="F14" s="10">
        <v>-3</v>
      </c>
      <c r="G14" s="10">
        <v>43</v>
      </c>
    </row>
    <row r="17" spans="1:7" ht="30" customHeight="1" x14ac:dyDescent="0.15">
      <c r="A17" s="43" t="s">
        <v>69</v>
      </c>
      <c r="B17" s="44"/>
      <c r="C17" s="44"/>
      <c r="D17" s="44"/>
      <c r="E17" s="44"/>
      <c r="F17" s="44"/>
      <c r="G17" s="44"/>
    </row>
  </sheetData>
  <mergeCells count="1">
    <mergeCell ref="A17:G17"/>
  </mergeCells>
  <phoneticPr fontId="10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>
      <selection activeCell="B11" sqref="B11"/>
    </sheetView>
  </sheetViews>
  <sheetFormatPr defaultColWidth="8.875" defaultRowHeight="13.5" x14ac:dyDescent="0.15"/>
  <cols>
    <col min="1" max="1" width="26" customWidth="1"/>
    <col min="2" max="2" width="13" customWidth="1"/>
    <col min="3" max="3" width="16" customWidth="1"/>
  </cols>
  <sheetData>
    <row r="1" spans="1:3" ht="16.5" x14ac:dyDescent="0.25">
      <c r="A1" s="45" t="s">
        <v>70</v>
      </c>
      <c r="B1" s="44"/>
      <c r="C1" s="44"/>
    </row>
    <row r="3" spans="1:3" ht="27.95" customHeight="1" x14ac:dyDescent="0.15">
      <c r="A3" s="5" t="s">
        <v>71</v>
      </c>
      <c r="B3" s="5" t="s">
        <v>72</v>
      </c>
      <c r="C3" s="5" t="s">
        <v>73</v>
      </c>
    </row>
    <row r="4" spans="1:3" x14ac:dyDescent="0.15">
      <c r="A4" s="6" t="s">
        <v>74</v>
      </c>
      <c r="B4" s="7">
        <v>0.22</v>
      </c>
      <c r="C4" s="7" t="s">
        <v>75</v>
      </c>
    </row>
    <row r="5" spans="1:3" x14ac:dyDescent="0.15">
      <c r="A5" s="6" t="s">
        <v>76</v>
      </c>
      <c r="B5" s="7">
        <v>0.18</v>
      </c>
      <c r="C5" s="7" t="s">
        <v>77</v>
      </c>
    </row>
    <row r="6" spans="1:3" x14ac:dyDescent="0.15">
      <c r="A6" s="6" t="s">
        <v>78</v>
      </c>
      <c r="B6" s="7">
        <v>0.17</v>
      </c>
      <c r="C6" s="7" t="s">
        <v>77</v>
      </c>
    </row>
    <row r="7" spans="1:3" x14ac:dyDescent="0.15">
      <c r="A7" s="6" t="s">
        <v>79</v>
      </c>
      <c r="B7" s="7">
        <v>0.18</v>
      </c>
      <c r="C7" s="7" t="s">
        <v>77</v>
      </c>
    </row>
    <row r="8" spans="1:3" x14ac:dyDescent="0.15">
      <c r="A8" s="9" t="s">
        <v>80</v>
      </c>
      <c r="B8" s="10">
        <v>0.7</v>
      </c>
      <c r="C8" s="10" t="s">
        <v>81</v>
      </c>
    </row>
    <row r="9" spans="1:3" x14ac:dyDescent="0.15">
      <c r="A9" s="6" t="s">
        <v>82</v>
      </c>
      <c r="B9" s="7">
        <v>0.54</v>
      </c>
      <c r="C9" s="7" t="s">
        <v>83</v>
      </c>
    </row>
    <row r="12" spans="1:3" ht="30" customHeight="1" x14ac:dyDescent="0.15">
      <c r="A12" s="43" t="s">
        <v>84</v>
      </c>
      <c r="B12" s="44"/>
      <c r="C12" s="44"/>
    </row>
  </sheetData>
  <mergeCells count="2">
    <mergeCell ref="A1:C1"/>
    <mergeCell ref="A12:C12"/>
  </mergeCells>
  <phoneticPr fontId="10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6FA26-54CA-4F4C-A7A6-F11042F6B937}">
  <dimension ref="A1:AR95"/>
  <sheetViews>
    <sheetView zoomScale="85" zoomScaleNormal="85" workbookViewId="0">
      <pane ySplit="2" topLeftCell="A30" activePane="bottomLeft" state="frozen"/>
      <selection pane="bottomLeft" activeCell="F56" sqref="F56"/>
    </sheetView>
  </sheetViews>
  <sheetFormatPr defaultColWidth="10.875" defaultRowHeight="20.100000000000001" customHeight="1" x14ac:dyDescent="0.15"/>
  <cols>
    <col min="1" max="1" width="12.875" style="14" customWidth="1"/>
    <col min="2" max="2" width="51.5" style="11" bestFit="1" customWidth="1"/>
    <col min="3" max="3" width="9.625" style="17" bestFit="1" customWidth="1"/>
    <col min="4" max="4" width="9.375" style="17" bestFit="1" customWidth="1"/>
    <col min="5" max="5" width="9.375" style="11" customWidth="1"/>
    <col min="6" max="6" width="13" style="11" bestFit="1" customWidth="1"/>
    <col min="7" max="7" width="10.125" style="11" bestFit="1" customWidth="1"/>
    <col min="8" max="8" width="10.125" style="16" bestFit="1" customWidth="1"/>
    <col min="9" max="9" width="8.625" style="16" bestFit="1" customWidth="1"/>
    <col min="10" max="10" width="9.125" style="16" bestFit="1" customWidth="1"/>
    <col min="11" max="11" width="7.5" style="16" bestFit="1" customWidth="1"/>
    <col min="12" max="13" width="9.375" style="16" bestFit="1" customWidth="1"/>
    <col min="14" max="14" width="12.125" style="16" bestFit="1" customWidth="1"/>
    <col min="15" max="16" width="8.375" style="16" bestFit="1" customWidth="1"/>
    <col min="17" max="17" width="11.5" style="16" bestFit="1" customWidth="1"/>
    <col min="18" max="18" width="11.875" style="16" bestFit="1" customWidth="1"/>
    <col min="19" max="19" width="11.5" style="16" customWidth="1"/>
    <col min="20" max="20" width="17.375" style="17" bestFit="1" customWidth="1"/>
    <col min="21" max="21" width="10.125" style="11" bestFit="1" customWidth="1"/>
    <col min="22" max="22" width="22.375" style="11" bestFit="1" customWidth="1"/>
    <col min="23" max="23" width="9.125" style="11" bestFit="1" customWidth="1"/>
    <col min="24" max="24" width="9.375" style="11" bestFit="1" customWidth="1"/>
    <col min="25" max="25" width="7.5" style="11" bestFit="1" customWidth="1"/>
    <col min="26" max="26" width="8.5" style="11" bestFit="1" customWidth="1"/>
    <col min="27" max="27" width="7.5" style="11" bestFit="1" customWidth="1"/>
    <col min="28" max="28" width="10.125" style="16" bestFit="1" customWidth="1"/>
    <col min="29" max="29" width="14" style="16" bestFit="1" customWidth="1"/>
    <col min="30" max="30" width="7" style="16" bestFit="1" customWidth="1"/>
    <col min="31" max="35" width="7.125" style="16" bestFit="1" customWidth="1"/>
    <col min="36" max="36" width="6.875" style="16" bestFit="1" customWidth="1"/>
    <col min="37" max="37" width="7.375" style="16" bestFit="1" customWidth="1"/>
    <col min="38" max="38" width="6.375" style="16" bestFit="1" customWidth="1"/>
    <col min="39" max="42" width="10.875" style="11"/>
    <col min="43" max="44" width="3" style="11" bestFit="1" customWidth="1"/>
    <col min="45" max="16384" width="10.875" style="11"/>
  </cols>
  <sheetData>
    <row r="1" spans="1:44" s="20" customFormat="1" ht="20.100000000000001" customHeight="1" x14ac:dyDescent="0.15">
      <c r="A1" s="46" t="s">
        <v>85</v>
      </c>
      <c r="B1" s="49" t="s">
        <v>86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1"/>
      <c r="N1" s="48" t="s">
        <v>97</v>
      </c>
      <c r="O1" s="48"/>
      <c r="P1" s="48"/>
      <c r="Q1" s="48"/>
      <c r="R1" s="48"/>
      <c r="S1" s="19"/>
      <c r="T1" s="47" t="s">
        <v>102</v>
      </c>
      <c r="U1" s="47"/>
      <c r="V1" s="47"/>
      <c r="W1" s="47"/>
      <c r="X1" s="47"/>
      <c r="Y1" s="47"/>
      <c r="Z1" s="47"/>
      <c r="AA1" s="47"/>
      <c r="AB1" s="48" t="s">
        <v>110</v>
      </c>
      <c r="AC1" s="48"/>
      <c r="AD1" s="48"/>
      <c r="AE1" s="48"/>
      <c r="AF1" s="48"/>
      <c r="AG1" s="48"/>
      <c r="AH1" s="48"/>
      <c r="AI1" s="48"/>
      <c r="AJ1" s="48"/>
      <c r="AK1" s="48"/>
      <c r="AL1" s="48"/>
    </row>
    <row r="2" spans="1:44" s="20" customFormat="1" ht="20.100000000000001" customHeight="1" x14ac:dyDescent="0.15">
      <c r="A2" s="46"/>
      <c r="B2" s="20" t="s">
        <v>124</v>
      </c>
      <c r="C2" s="21" t="s">
        <v>87</v>
      </c>
      <c r="D2" s="21" t="s">
        <v>88</v>
      </c>
      <c r="E2" s="20" t="s">
        <v>122</v>
      </c>
      <c r="F2" s="20" t="s">
        <v>89</v>
      </c>
      <c r="G2" s="20" t="s">
        <v>90</v>
      </c>
      <c r="H2" s="19" t="s">
        <v>91</v>
      </c>
      <c r="I2" s="19" t="s">
        <v>92</v>
      </c>
      <c r="J2" s="19" t="s">
        <v>93</v>
      </c>
      <c r="K2" s="19" t="s">
        <v>94</v>
      </c>
      <c r="L2" s="19" t="s">
        <v>95</v>
      </c>
      <c r="M2" s="19" t="s">
        <v>96</v>
      </c>
      <c r="N2" s="19" t="s">
        <v>98</v>
      </c>
      <c r="O2" s="19" t="s">
        <v>99</v>
      </c>
      <c r="P2" s="19" t="s">
        <v>100</v>
      </c>
      <c r="Q2" s="19" t="s">
        <v>129</v>
      </c>
      <c r="R2" s="19" t="s">
        <v>101</v>
      </c>
      <c r="S2" s="19" t="s">
        <v>137</v>
      </c>
      <c r="T2" s="21" t="s">
        <v>103</v>
      </c>
      <c r="U2" s="20" t="s">
        <v>90</v>
      </c>
      <c r="V2" s="20" t="s">
        <v>104</v>
      </c>
      <c r="W2" s="20" t="s">
        <v>105</v>
      </c>
      <c r="X2" s="20" t="s">
        <v>106</v>
      </c>
      <c r="Y2" s="20" t="s">
        <v>107</v>
      </c>
      <c r="Z2" s="20" t="s">
        <v>108</v>
      </c>
      <c r="AA2" s="20" t="s">
        <v>109</v>
      </c>
      <c r="AB2" s="19" t="s">
        <v>111</v>
      </c>
      <c r="AC2" s="19" t="s">
        <v>112</v>
      </c>
      <c r="AD2" s="19" t="s">
        <v>113</v>
      </c>
      <c r="AE2" s="19" t="s">
        <v>114</v>
      </c>
      <c r="AF2" s="19" t="s">
        <v>115</v>
      </c>
      <c r="AG2" s="19" t="s">
        <v>116</v>
      </c>
      <c r="AH2" s="19" t="s">
        <v>117</v>
      </c>
      <c r="AI2" s="19" t="s">
        <v>118</v>
      </c>
      <c r="AJ2" s="19" t="s">
        <v>119</v>
      </c>
      <c r="AK2" s="19" t="s">
        <v>120</v>
      </c>
      <c r="AL2" s="19" t="s">
        <v>121</v>
      </c>
      <c r="AQ2" s="20">
        <v>0</v>
      </c>
      <c r="AR2" s="20">
        <v>0</v>
      </c>
    </row>
    <row r="3" spans="1:44" ht="20.100000000000001" customHeight="1" x14ac:dyDescent="0.15">
      <c r="A3" s="14">
        <v>46293</v>
      </c>
      <c r="B3" s="12" t="s">
        <v>125</v>
      </c>
      <c r="C3" s="17">
        <v>4349</v>
      </c>
      <c r="D3" s="17">
        <v>3381</v>
      </c>
      <c r="E3" s="13">
        <v>1.1805555555555555E-2</v>
      </c>
      <c r="F3" s="11">
        <v>8</v>
      </c>
      <c r="G3" s="11">
        <v>6</v>
      </c>
      <c r="H3" s="16">
        <v>0.53</v>
      </c>
      <c r="I3" s="16">
        <v>0</v>
      </c>
      <c r="J3" s="16">
        <v>8.0000000000000002E-3</v>
      </c>
      <c r="K3" s="16">
        <v>4.0000000000000001E-3</v>
      </c>
      <c r="L3" s="16">
        <v>0</v>
      </c>
      <c r="M3" s="16">
        <v>0</v>
      </c>
      <c r="N3" s="16">
        <v>0.41899999999999998</v>
      </c>
      <c r="O3" s="16">
        <v>0.39</v>
      </c>
      <c r="P3" s="16">
        <v>0.183</v>
      </c>
      <c r="Q3" s="15" t="s">
        <v>130</v>
      </c>
      <c r="R3" s="16">
        <v>8.0000000000000002E-3</v>
      </c>
      <c r="S3" s="16" t="s">
        <v>130</v>
      </c>
      <c r="T3" s="17">
        <v>34</v>
      </c>
      <c r="U3" s="11">
        <v>6</v>
      </c>
      <c r="V3" s="11">
        <v>1</v>
      </c>
      <c r="W3" s="11">
        <v>27</v>
      </c>
      <c r="X3" s="11">
        <v>0</v>
      </c>
      <c r="Y3" s="11">
        <v>0</v>
      </c>
      <c r="Z3" s="11" t="s">
        <v>123</v>
      </c>
      <c r="AA3" s="11">
        <v>12</v>
      </c>
      <c r="AB3" s="16">
        <v>0.121</v>
      </c>
      <c r="AC3" s="16">
        <v>0.879</v>
      </c>
      <c r="AD3" s="16">
        <v>2.3E-2</v>
      </c>
      <c r="AE3" s="16">
        <v>0.17799999999999999</v>
      </c>
      <c r="AF3" s="16">
        <v>0.28000000000000003</v>
      </c>
      <c r="AG3" s="16">
        <v>0.217</v>
      </c>
      <c r="AH3" s="16">
        <v>0.19500000000000001</v>
      </c>
      <c r="AI3" s="16">
        <v>9.0999999999999998E-2</v>
      </c>
      <c r="AJ3" s="16">
        <v>1.6E-2</v>
      </c>
      <c r="AK3" s="16">
        <v>0.99</v>
      </c>
      <c r="AL3" s="16">
        <v>1E-3</v>
      </c>
    </row>
    <row r="4" spans="1:44" ht="20.100000000000001" customHeight="1" x14ac:dyDescent="0.15">
      <c r="A4" s="14">
        <v>46289</v>
      </c>
      <c r="B4" s="11" t="s">
        <v>126</v>
      </c>
      <c r="C4" s="17">
        <v>4090</v>
      </c>
      <c r="D4" s="17">
        <v>3116</v>
      </c>
      <c r="E4" s="13">
        <v>1.1805555555555555E-2</v>
      </c>
      <c r="F4" s="11">
        <v>7</v>
      </c>
      <c r="G4" s="11">
        <v>2</v>
      </c>
      <c r="H4" s="16">
        <v>0.441</v>
      </c>
      <c r="I4" s="16">
        <v>0</v>
      </c>
      <c r="J4" s="16">
        <v>7.0000000000000001E-3</v>
      </c>
      <c r="K4" s="16">
        <v>5.0000000000000001E-3</v>
      </c>
      <c r="L4" s="16">
        <v>1E-3</v>
      </c>
      <c r="M4" s="16">
        <v>0</v>
      </c>
      <c r="N4" s="16">
        <v>0.45</v>
      </c>
      <c r="O4" s="16">
        <v>0.38100000000000001</v>
      </c>
      <c r="P4" s="16">
        <v>0.16</v>
      </c>
      <c r="Q4" s="16" t="s">
        <v>130</v>
      </c>
      <c r="R4" s="16">
        <v>8.9999999999999993E-3</v>
      </c>
      <c r="S4" s="16" t="s">
        <v>130</v>
      </c>
      <c r="T4" s="17">
        <v>38</v>
      </c>
      <c r="U4" s="11">
        <v>2</v>
      </c>
      <c r="V4" s="11" t="s">
        <v>123</v>
      </c>
      <c r="W4" s="11">
        <v>20</v>
      </c>
      <c r="X4" s="11">
        <v>0</v>
      </c>
      <c r="Y4" s="11">
        <v>3</v>
      </c>
      <c r="Z4" s="11" t="s">
        <v>123</v>
      </c>
      <c r="AA4" s="11">
        <v>15</v>
      </c>
      <c r="AB4" s="16">
        <v>0.20499999999999999</v>
      </c>
      <c r="AC4" s="16">
        <v>8.0000000000000002E-3</v>
      </c>
      <c r="AD4" s="16">
        <v>5.6000000000000001E-2</v>
      </c>
      <c r="AE4" s="16">
        <v>0.249</v>
      </c>
      <c r="AF4" s="16">
        <v>0.30199999999999999</v>
      </c>
      <c r="AG4" s="16">
        <v>0.19700000000000001</v>
      </c>
      <c r="AH4" s="16">
        <v>0.13700000000000001</v>
      </c>
      <c r="AI4" s="16">
        <v>4.9000000000000002E-2</v>
      </c>
      <c r="AJ4" s="16">
        <v>8.9999999999999993E-3</v>
      </c>
      <c r="AK4" s="16">
        <v>0.97299999999999998</v>
      </c>
      <c r="AL4" s="16">
        <v>2.7E-2</v>
      </c>
    </row>
    <row r="5" spans="1:44" ht="20.100000000000001" customHeight="1" x14ac:dyDescent="0.15">
      <c r="A5" s="14">
        <v>46219</v>
      </c>
      <c r="B5" s="11" t="s">
        <v>127</v>
      </c>
      <c r="C5" s="17">
        <v>2130</v>
      </c>
      <c r="D5" s="17">
        <v>1533</v>
      </c>
      <c r="E5" s="13">
        <v>5.4166666666666669E-2</v>
      </c>
      <c r="F5" s="11">
        <v>9</v>
      </c>
      <c r="G5" s="11">
        <v>1</v>
      </c>
      <c r="H5" s="16">
        <v>0.56599999999999995</v>
      </c>
      <c r="I5" s="16">
        <v>0</v>
      </c>
      <c r="J5" s="16">
        <v>1.6E-2</v>
      </c>
      <c r="K5" s="16">
        <v>2E-3</v>
      </c>
      <c r="L5" s="16">
        <v>0</v>
      </c>
      <c r="M5" s="16">
        <v>0</v>
      </c>
      <c r="N5" s="16">
        <v>0.221</v>
      </c>
      <c r="O5" s="16">
        <v>0.53600000000000003</v>
      </c>
      <c r="P5" s="16">
        <v>5.8000000000000003E-2</v>
      </c>
      <c r="Q5" s="16" t="s">
        <v>130</v>
      </c>
      <c r="R5" s="16">
        <v>0.18</v>
      </c>
      <c r="S5" s="16" t="s">
        <v>130</v>
      </c>
      <c r="T5" s="17">
        <v>20</v>
      </c>
      <c r="U5" s="11">
        <v>1</v>
      </c>
      <c r="V5" s="11" t="s">
        <v>123</v>
      </c>
      <c r="W5" s="11">
        <v>26</v>
      </c>
      <c r="X5" s="11">
        <v>0</v>
      </c>
      <c r="Y5" s="11">
        <v>0</v>
      </c>
      <c r="AA5" s="11">
        <v>4</v>
      </c>
      <c r="AB5" s="16">
        <v>0.29899999999999999</v>
      </c>
      <c r="AC5" s="16">
        <v>0.70099999999999996</v>
      </c>
      <c r="AD5" s="16">
        <v>1.6E-2</v>
      </c>
      <c r="AE5" s="16">
        <v>0.34399999999999997</v>
      </c>
      <c r="AF5" s="16">
        <v>0.29199999999999998</v>
      </c>
      <c r="AG5" s="16">
        <v>0.183</v>
      </c>
      <c r="AH5" s="16">
        <v>0.11700000000000001</v>
      </c>
      <c r="AI5" s="16">
        <v>0.04</v>
      </c>
      <c r="AJ5" s="16">
        <v>7.0000000000000001E-3</v>
      </c>
      <c r="AK5" s="16">
        <v>0.96</v>
      </c>
      <c r="AL5" s="16">
        <v>3.9E-2</v>
      </c>
    </row>
    <row r="6" spans="1:44" ht="20.100000000000001" customHeight="1" x14ac:dyDescent="0.15">
      <c r="A6" s="14">
        <v>46198</v>
      </c>
      <c r="B6" s="11" t="s">
        <v>128</v>
      </c>
      <c r="C6" s="17">
        <v>2598</v>
      </c>
      <c r="D6" s="17">
        <v>737</v>
      </c>
      <c r="E6" s="13">
        <v>4.4444444444444446E-2</v>
      </c>
      <c r="F6" s="11">
        <v>6</v>
      </c>
      <c r="G6" s="11">
        <v>0</v>
      </c>
      <c r="H6" s="16">
        <v>0.71899999999999997</v>
      </c>
      <c r="I6" s="16">
        <v>0</v>
      </c>
      <c r="J6" s="16">
        <v>1.7000000000000001E-2</v>
      </c>
      <c r="K6" s="16">
        <v>2E-3</v>
      </c>
      <c r="L6" s="16">
        <v>0</v>
      </c>
      <c r="M6" s="16">
        <v>0</v>
      </c>
      <c r="N6" s="16">
        <v>6.0999999999999999E-2</v>
      </c>
      <c r="O6" s="16">
        <v>0.34</v>
      </c>
      <c r="P6" s="16">
        <v>0.10299999999999999</v>
      </c>
      <c r="Q6" s="16">
        <v>0.10299999999999999</v>
      </c>
      <c r="R6" s="16">
        <v>1.6E-2</v>
      </c>
      <c r="S6" s="16" t="s">
        <v>130</v>
      </c>
      <c r="T6" s="17">
        <v>22</v>
      </c>
      <c r="U6" s="11">
        <v>1</v>
      </c>
      <c r="V6" s="11">
        <v>0</v>
      </c>
      <c r="W6" s="11">
        <v>34</v>
      </c>
      <c r="X6" s="11">
        <v>0</v>
      </c>
      <c r="Y6" s="11">
        <v>0</v>
      </c>
      <c r="Z6" s="11" t="s">
        <v>123</v>
      </c>
      <c r="AA6" s="11">
        <v>5</v>
      </c>
      <c r="AB6" s="16">
        <v>0.30099999999999999</v>
      </c>
      <c r="AC6" s="16">
        <v>0.69899999999999995</v>
      </c>
      <c r="AD6" s="16">
        <v>2.4E-2</v>
      </c>
      <c r="AE6" s="16">
        <v>0.33800000000000002</v>
      </c>
      <c r="AF6" s="16">
        <v>0.32300000000000001</v>
      </c>
      <c r="AG6" s="16">
        <v>0.17699999999999999</v>
      </c>
      <c r="AH6" s="16">
        <v>9.9000000000000005E-2</v>
      </c>
      <c r="AI6" s="16">
        <v>3.6999999999999998E-2</v>
      </c>
      <c r="AJ6" s="16">
        <v>2E-3</v>
      </c>
      <c r="AK6" s="16">
        <v>0.96499999999999997</v>
      </c>
      <c r="AL6" s="16">
        <v>3.5000000000000003E-2</v>
      </c>
    </row>
    <row r="7" spans="1:44" ht="20.100000000000001" customHeight="1" x14ac:dyDescent="0.15">
      <c r="A7" s="14">
        <v>46192</v>
      </c>
      <c r="B7" s="11" t="s">
        <v>131</v>
      </c>
      <c r="C7" s="17">
        <v>2669</v>
      </c>
      <c r="D7" s="17">
        <v>413</v>
      </c>
      <c r="E7" s="13">
        <v>5.5555555555555552E-2</v>
      </c>
      <c r="F7" s="11">
        <v>8</v>
      </c>
      <c r="G7" s="11">
        <v>0</v>
      </c>
      <c r="H7" s="16">
        <v>0.66800000000000004</v>
      </c>
      <c r="I7" s="16">
        <v>0</v>
      </c>
      <c r="J7" s="16">
        <v>1.2E-2</v>
      </c>
      <c r="K7" s="16">
        <v>2E-3</v>
      </c>
      <c r="L7" s="16">
        <v>0</v>
      </c>
      <c r="M7" s="16">
        <v>0</v>
      </c>
      <c r="N7" s="16">
        <v>9.4E-2</v>
      </c>
      <c r="O7" s="16">
        <v>0.46899999999999997</v>
      </c>
      <c r="P7" s="16">
        <v>1.0999999999999999E-2</v>
      </c>
      <c r="Q7" s="16" t="s">
        <v>132</v>
      </c>
      <c r="R7" s="16">
        <v>0.27800000000000002</v>
      </c>
      <c r="S7" s="16" t="s">
        <v>130</v>
      </c>
      <c r="T7" s="17">
        <v>21</v>
      </c>
      <c r="U7" s="11">
        <v>1</v>
      </c>
      <c r="V7" s="11">
        <v>0</v>
      </c>
      <c r="W7" s="11">
        <v>24</v>
      </c>
      <c r="X7" s="11">
        <v>0</v>
      </c>
      <c r="Y7" s="11">
        <v>0</v>
      </c>
      <c r="AA7" s="11">
        <v>4</v>
      </c>
      <c r="AB7" s="16">
        <v>0.32700000000000001</v>
      </c>
      <c r="AC7" s="16">
        <v>0.67300000000000004</v>
      </c>
      <c r="AD7" s="16">
        <v>2.1000000000000001E-2</v>
      </c>
      <c r="AE7" s="16">
        <v>0.32200000000000001</v>
      </c>
      <c r="AF7" s="16">
        <v>0.30499999999999999</v>
      </c>
      <c r="AG7" s="16">
        <v>0.17599999999999999</v>
      </c>
      <c r="AH7" s="16">
        <v>0.13700000000000001</v>
      </c>
      <c r="AI7" s="16">
        <v>3.6999999999999998E-2</v>
      </c>
      <c r="AJ7" s="16">
        <v>2E-3</v>
      </c>
      <c r="AK7" s="16">
        <v>0.94899999999999995</v>
      </c>
      <c r="AL7" s="16">
        <v>5.0999999999999997E-2</v>
      </c>
    </row>
    <row r="8" spans="1:44" ht="20.100000000000001" customHeight="1" x14ac:dyDescent="0.15">
      <c r="A8" s="14">
        <v>46173</v>
      </c>
      <c r="B8" s="11" t="s">
        <v>133</v>
      </c>
      <c r="C8" s="17">
        <v>2061</v>
      </c>
      <c r="D8" s="17">
        <v>1436</v>
      </c>
      <c r="E8" s="13">
        <v>7.7083333333333337E-2</v>
      </c>
      <c r="F8" s="11">
        <v>7</v>
      </c>
      <c r="G8" s="11">
        <v>1</v>
      </c>
      <c r="H8" s="16">
        <v>0.71099999999999997</v>
      </c>
      <c r="I8" s="16">
        <v>0</v>
      </c>
      <c r="J8" s="16">
        <v>1.4999999999999999E-2</v>
      </c>
      <c r="K8" s="16">
        <v>2E-3</v>
      </c>
      <c r="L8" s="16">
        <v>1E-3</v>
      </c>
      <c r="M8" s="16">
        <v>0</v>
      </c>
      <c r="N8" s="16">
        <v>5.5E-2</v>
      </c>
      <c r="O8" s="16">
        <v>0.48899999999999999</v>
      </c>
      <c r="P8" s="16">
        <v>8.9999999999999993E-3</v>
      </c>
      <c r="Q8" s="16" t="s">
        <v>123</v>
      </c>
      <c r="R8" s="16">
        <v>0.443</v>
      </c>
      <c r="S8" s="16" t="s">
        <v>130</v>
      </c>
      <c r="T8" s="17">
        <v>40</v>
      </c>
      <c r="U8" s="11">
        <v>1</v>
      </c>
      <c r="V8" s="11">
        <v>1</v>
      </c>
      <c r="W8" s="11">
        <v>23</v>
      </c>
      <c r="X8" s="11">
        <v>0</v>
      </c>
      <c r="Y8" s="11">
        <v>2</v>
      </c>
      <c r="Z8" s="11" t="s">
        <v>123</v>
      </c>
      <c r="AA8" s="11">
        <v>3</v>
      </c>
      <c r="AB8" s="16">
        <v>0.28799999999999998</v>
      </c>
      <c r="AC8" s="16">
        <v>0.71199999999999997</v>
      </c>
      <c r="AD8" s="16">
        <v>2.1000000000000001E-2</v>
      </c>
      <c r="AE8" s="16">
        <v>0.34899999999999998</v>
      </c>
      <c r="AF8" s="16">
        <v>0.28399999999999997</v>
      </c>
      <c r="AG8" s="16">
        <v>0.158</v>
      </c>
      <c r="AH8" s="16">
        <v>0.151</v>
      </c>
      <c r="AI8" s="16">
        <v>3.6999999999999998E-2</v>
      </c>
      <c r="AJ8" s="16">
        <v>0</v>
      </c>
      <c r="AK8" s="16">
        <v>0.96499999999999997</v>
      </c>
      <c r="AL8" s="16">
        <v>3.5000000000000003E-2</v>
      </c>
    </row>
    <row r="9" spans="1:44" ht="20.100000000000001" customHeight="1" x14ac:dyDescent="0.15">
      <c r="A9" s="14">
        <v>46149</v>
      </c>
      <c r="B9" s="11" t="s">
        <v>134</v>
      </c>
      <c r="C9" s="17">
        <v>2669</v>
      </c>
      <c r="D9" s="17">
        <v>1830</v>
      </c>
      <c r="E9" s="13">
        <v>3.472222222222222E-3</v>
      </c>
      <c r="F9" s="11">
        <v>4</v>
      </c>
      <c r="G9" s="11">
        <v>2</v>
      </c>
      <c r="H9" s="16">
        <v>0.63300000000000001</v>
      </c>
      <c r="I9" s="16">
        <v>1E-3</v>
      </c>
      <c r="J9" s="16">
        <v>1.7999999999999999E-2</v>
      </c>
      <c r="K9" s="16">
        <v>0</v>
      </c>
      <c r="L9" s="16">
        <v>0</v>
      </c>
      <c r="M9" s="16">
        <v>0</v>
      </c>
      <c r="N9" s="16">
        <v>6.0999999999999999E-2</v>
      </c>
      <c r="O9" s="16">
        <v>0.48799999999999999</v>
      </c>
      <c r="P9" s="16">
        <v>1.9E-2</v>
      </c>
      <c r="Q9" s="16" t="s">
        <v>123</v>
      </c>
      <c r="R9" s="16">
        <v>0.41799999999999998</v>
      </c>
      <c r="S9" s="16" t="s">
        <v>130</v>
      </c>
      <c r="T9" s="17">
        <v>21</v>
      </c>
      <c r="U9" s="11">
        <v>2</v>
      </c>
      <c r="V9" s="11">
        <v>1</v>
      </c>
      <c r="W9" s="11">
        <v>30</v>
      </c>
      <c r="X9" s="11">
        <v>0</v>
      </c>
      <c r="Y9" s="11">
        <v>0</v>
      </c>
      <c r="Z9" s="11" t="s">
        <v>123</v>
      </c>
      <c r="AA9" s="11">
        <v>0</v>
      </c>
      <c r="AB9" s="16">
        <v>0.32</v>
      </c>
      <c r="AC9" s="16">
        <v>0.68</v>
      </c>
      <c r="AD9" s="16">
        <v>2.5000000000000001E-2</v>
      </c>
      <c r="AE9" s="16">
        <v>0.36499999999999999</v>
      </c>
      <c r="AF9" s="16">
        <v>0.23599999999999999</v>
      </c>
      <c r="AG9" s="16">
        <v>0.16600000000000001</v>
      </c>
      <c r="AH9" s="16">
        <v>0.17399999999999999</v>
      </c>
      <c r="AI9" s="16">
        <v>3.4000000000000002E-2</v>
      </c>
      <c r="AJ9" s="16">
        <v>0</v>
      </c>
      <c r="AK9" s="16">
        <v>0.97899999999999998</v>
      </c>
      <c r="AL9" s="16">
        <v>2.1000000000000001E-2</v>
      </c>
    </row>
    <row r="10" spans="1:44" ht="20.100000000000001" customHeight="1" x14ac:dyDescent="0.15">
      <c r="A10" s="14">
        <v>46134</v>
      </c>
      <c r="B10" s="11" t="s">
        <v>135</v>
      </c>
      <c r="C10" s="17">
        <v>3099</v>
      </c>
      <c r="D10" s="17">
        <v>2099</v>
      </c>
      <c r="E10" s="13">
        <v>5.4166666666666669E-2</v>
      </c>
      <c r="F10" s="11">
        <v>12</v>
      </c>
      <c r="G10" s="11">
        <v>1</v>
      </c>
      <c r="H10" s="16">
        <v>0.58099999999999996</v>
      </c>
      <c r="I10" s="16">
        <v>0</v>
      </c>
      <c r="J10" s="16">
        <v>0.02</v>
      </c>
      <c r="K10" s="16">
        <v>3.0000000000000001E-3</v>
      </c>
      <c r="L10" s="16">
        <v>0</v>
      </c>
      <c r="M10" s="16">
        <v>0</v>
      </c>
      <c r="N10" s="16">
        <v>5.2999999999999999E-2</v>
      </c>
      <c r="O10" s="16">
        <v>0.39900000000000002</v>
      </c>
      <c r="P10" s="16">
        <v>0.01</v>
      </c>
      <c r="Q10" s="16">
        <v>0.1</v>
      </c>
      <c r="R10" s="16">
        <v>0.41799999999999998</v>
      </c>
      <c r="S10" s="16" t="s">
        <v>130</v>
      </c>
      <c r="T10" s="17">
        <v>35</v>
      </c>
      <c r="U10" s="11">
        <v>1</v>
      </c>
      <c r="V10" s="11">
        <v>3</v>
      </c>
      <c r="W10" s="11">
        <v>48</v>
      </c>
      <c r="X10" s="11">
        <v>1</v>
      </c>
      <c r="Y10" s="11">
        <v>1</v>
      </c>
      <c r="Z10" s="11" t="s">
        <v>123</v>
      </c>
      <c r="AA10" s="11">
        <v>6</v>
      </c>
      <c r="AB10" s="16">
        <v>0.31900000000000001</v>
      </c>
      <c r="AC10" s="16">
        <v>0.68100000000000005</v>
      </c>
      <c r="AD10" s="16">
        <v>2.3E-2</v>
      </c>
      <c r="AE10" s="16">
        <v>0.34399999999999997</v>
      </c>
      <c r="AF10" s="16">
        <v>0.30599999999999999</v>
      </c>
      <c r="AG10" s="16">
        <v>0.156</v>
      </c>
      <c r="AH10" s="16">
        <v>0.14199999999999999</v>
      </c>
      <c r="AI10" s="16">
        <v>2.9000000000000001E-2</v>
      </c>
      <c r="AJ10" s="16">
        <v>0</v>
      </c>
      <c r="AK10" s="16">
        <v>0.96399999999999997</v>
      </c>
      <c r="AL10" s="16">
        <v>3.5999999999999997E-2</v>
      </c>
    </row>
    <row r="11" spans="1:44" ht="20.100000000000001" customHeight="1" x14ac:dyDescent="0.15">
      <c r="A11" s="14">
        <v>46124</v>
      </c>
      <c r="B11" s="11" t="s">
        <v>136</v>
      </c>
      <c r="C11" s="17">
        <v>6471</v>
      </c>
      <c r="D11" s="17">
        <v>3708</v>
      </c>
      <c r="E11" s="13">
        <v>4.1666666666666666E-3</v>
      </c>
      <c r="F11" s="11">
        <v>6</v>
      </c>
      <c r="G11" s="11">
        <v>3</v>
      </c>
      <c r="H11" s="16">
        <v>0.67200000000000004</v>
      </c>
      <c r="I11" s="16">
        <v>0</v>
      </c>
      <c r="J11" s="16">
        <v>8.9999999999999993E-3</v>
      </c>
      <c r="K11" s="16">
        <v>1E-3</v>
      </c>
      <c r="L11" s="16">
        <v>0</v>
      </c>
      <c r="M11" s="16">
        <v>0</v>
      </c>
      <c r="N11" s="16">
        <v>0.33100000000000002</v>
      </c>
      <c r="O11" s="16">
        <v>0.23400000000000001</v>
      </c>
      <c r="P11" s="16">
        <v>0.14799999999999999</v>
      </c>
      <c r="Q11" s="16">
        <v>5.3999999999999999E-2</v>
      </c>
      <c r="R11" s="16">
        <v>0.219</v>
      </c>
      <c r="S11" s="16">
        <v>7.0000000000000001E-3</v>
      </c>
      <c r="T11" s="17">
        <v>34</v>
      </c>
      <c r="U11" s="11">
        <v>3</v>
      </c>
      <c r="V11" s="11" t="s">
        <v>123</v>
      </c>
      <c r="W11" s="11">
        <v>34</v>
      </c>
      <c r="X11" s="11">
        <v>0</v>
      </c>
      <c r="Y11" s="11">
        <v>1</v>
      </c>
      <c r="Z11" s="11" t="s">
        <v>123</v>
      </c>
      <c r="AA11" s="11">
        <v>4</v>
      </c>
      <c r="AB11" s="16">
        <v>0.193</v>
      </c>
      <c r="AC11" s="16">
        <v>0.80700000000000005</v>
      </c>
      <c r="AD11" s="16">
        <v>2.4E-2</v>
      </c>
      <c r="AE11" s="16">
        <v>0.36299999999999999</v>
      </c>
      <c r="AF11" s="16">
        <v>0.247</v>
      </c>
      <c r="AG11" s="16">
        <v>0.17299999999999999</v>
      </c>
      <c r="AH11" s="16">
        <v>0.16700000000000001</v>
      </c>
      <c r="AI11" s="16">
        <v>1.7999999999999999E-2</v>
      </c>
      <c r="AJ11" s="16">
        <v>8.9999999999999993E-3</v>
      </c>
      <c r="AK11" s="16">
        <v>0.95199999999999996</v>
      </c>
      <c r="AL11" s="16">
        <v>4.8000000000000001E-2</v>
      </c>
    </row>
    <row r="12" spans="1:44" ht="20.100000000000001" customHeight="1" x14ac:dyDescent="0.15">
      <c r="A12" s="14">
        <v>46120</v>
      </c>
      <c r="B12" s="11" t="s">
        <v>138</v>
      </c>
      <c r="C12" s="17">
        <v>3772</v>
      </c>
      <c r="D12" s="17">
        <v>2152</v>
      </c>
      <c r="E12" s="13">
        <v>4.1666666666666666E-3</v>
      </c>
      <c r="F12" s="11">
        <v>5</v>
      </c>
      <c r="G12" s="11">
        <v>5</v>
      </c>
      <c r="H12" s="16">
        <v>0.60099999999999998</v>
      </c>
      <c r="I12" s="16">
        <v>0</v>
      </c>
      <c r="J12" s="16">
        <v>1.6E-2</v>
      </c>
      <c r="K12" s="16">
        <v>4.0000000000000001E-3</v>
      </c>
      <c r="L12" s="16">
        <v>0</v>
      </c>
      <c r="M12" s="16">
        <v>0</v>
      </c>
      <c r="N12" s="16">
        <v>0.126</v>
      </c>
      <c r="O12" s="16">
        <v>0.46100000000000002</v>
      </c>
      <c r="P12" s="16">
        <v>4.9000000000000002E-2</v>
      </c>
      <c r="Q12" s="16" t="s">
        <v>123</v>
      </c>
      <c r="R12" s="16">
        <v>0.35499999999999998</v>
      </c>
      <c r="S12" s="16">
        <v>5.0000000000000001E-3</v>
      </c>
      <c r="T12" s="17">
        <v>7</v>
      </c>
      <c r="U12" s="11">
        <v>5</v>
      </c>
      <c r="V12" s="11" t="s">
        <v>123</v>
      </c>
      <c r="W12" s="11">
        <v>37</v>
      </c>
      <c r="X12" s="11">
        <v>0</v>
      </c>
      <c r="Y12" s="11">
        <v>1</v>
      </c>
      <c r="Z12" s="11" t="s">
        <v>123</v>
      </c>
      <c r="AA12" s="11">
        <v>9</v>
      </c>
      <c r="AB12" s="16">
        <v>0.29299999999999998</v>
      </c>
      <c r="AC12" s="16">
        <v>0.70699999999999996</v>
      </c>
      <c r="AD12" s="16">
        <v>3.5000000000000003E-2</v>
      </c>
      <c r="AE12" s="16">
        <v>0.371</v>
      </c>
      <c r="AF12" s="16">
        <v>0.27700000000000002</v>
      </c>
      <c r="AG12" s="16">
        <v>0.152</v>
      </c>
      <c r="AH12" s="16">
        <v>0.126</v>
      </c>
      <c r="AI12" s="16">
        <v>2.9000000000000001E-2</v>
      </c>
      <c r="AJ12" s="16">
        <v>0.01</v>
      </c>
      <c r="AK12" s="16">
        <v>0.98</v>
      </c>
      <c r="AL12" s="16">
        <v>0.02</v>
      </c>
    </row>
    <row r="13" spans="1:44" ht="20.100000000000001" customHeight="1" x14ac:dyDescent="0.15">
      <c r="A13" s="14">
        <v>46118</v>
      </c>
      <c r="B13" s="11" t="s">
        <v>139</v>
      </c>
      <c r="C13" s="17">
        <v>2874</v>
      </c>
      <c r="D13" s="17">
        <v>1813</v>
      </c>
      <c r="E13" s="13">
        <v>4.1666666666666666E-3</v>
      </c>
      <c r="F13" s="11">
        <v>4</v>
      </c>
      <c r="G13" s="11">
        <v>0</v>
      </c>
      <c r="H13" s="16">
        <v>0.61699999999999999</v>
      </c>
      <c r="I13" s="16">
        <v>0</v>
      </c>
      <c r="J13" s="16">
        <v>1.6E-2</v>
      </c>
      <c r="K13" s="16">
        <v>2E-3</v>
      </c>
      <c r="L13" s="16">
        <v>1E-3</v>
      </c>
      <c r="M13" s="16">
        <v>1E-3</v>
      </c>
      <c r="N13" s="16">
        <v>0.128</v>
      </c>
      <c r="O13" s="16">
        <v>0.496</v>
      </c>
      <c r="P13" s="16">
        <v>5.2999999999999999E-2</v>
      </c>
      <c r="Q13" s="16" t="s">
        <v>123</v>
      </c>
      <c r="R13" s="16">
        <v>0.32200000000000001</v>
      </c>
      <c r="S13" s="16" t="s">
        <v>123</v>
      </c>
      <c r="T13" s="17">
        <v>18</v>
      </c>
      <c r="U13" s="11">
        <v>0</v>
      </c>
      <c r="V13" s="11" t="s">
        <v>123</v>
      </c>
      <c r="W13" s="11">
        <v>29</v>
      </c>
      <c r="X13" s="11">
        <v>1</v>
      </c>
      <c r="Y13" s="11">
        <v>1</v>
      </c>
      <c r="Z13" s="11" t="s">
        <v>123</v>
      </c>
      <c r="AA13" s="11">
        <v>3</v>
      </c>
      <c r="AB13" s="16">
        <v>0.311</v>
      </c>
      <c r="AC13" s="16">
        <v>0.68899999999999995</v>
      </c>
      <c r="AD13" s="16">
        <v>3.6999999999999998E-2</v>
      </c>
      <c r="AE13" s="16">
        <v>0.31900000000000001</v>
      </c>
      <c r="AF13" s="16">
        <v>0.28199999999999997</v>
      </c>
      <c r="AG13" s="16">
        <v>0.157</v>
      </c>
      <c r="AH13" s="16">
        <v>0.13900000000000001</v>
      </c>
      <c r="AI13" s="16">
        <v>5.0999999999999997E-2</v>
      </c>
      <c r="AJ13" s="16">
        <v>1.4E-2</v>
      </c>
      <c r="AK13" s="16">
        <v>0.98799999999999999</v>
      </c>
      <c r="AL13" s="16">
        <v>1.2E-2</v>
      </c>
    </row>
    <row r="14" spans="1:44" ht="20.100000000000001" customHeight="1" x14ac:dyDescent="0.15">
      <c r="A14" s="14">
        <v>46111</v>
      </c>
      <c r="B14" s="11" t="s">
        <v>140</v>
      </c>
      <c r="C14" s="17">
        <v>2397</v>
      </c>
      <c r="D14" s="17">
        <v>1406</v>
      </c>
      <c r="E14" s="13">
        <v>2.0833333333333333E-3</v>
      </c>
      <c r="F14" s="11">
        <v>4</v>
      </c>
      <c r="G14" s="11">
        <v>0</v>
      </c>
      <c r="H14" s="16">
        <v>0.71099999999999997</v>
      </c>
      <c r="I14" s="16">
        <v>0</v>
      </c>
      <c r="J14" s="16">
        <v>1.0999999999999999E-2</v>
      </c>
      <c r="K14" s="16">
        <v>0</v>
      </c>
      <c r="L14" s="16">
        <v>0</v>
      </c>
      <c r="M14" s="16">
        <v>0</v>
      </c>
      <c r="N14" s="16">
        <v>6.7000000000000004E-2</v>
      </c>
      <c r="O14" s="16">
        <v>0.53700000000000003</v>
      </c>
      <c r="P14" s="16">
        <v>3.2000000000000001E-2</v>
      </c>
      <c r="Q14" s="16" t="s">
        <v>123</v>
      </c>
      <c r="R14" s="16">
        <v>0.36099999999999999</v>
      </c>
      <c r="S14" s="16" t="s">
        <v>123</v>
      </c>
      <c r="T14" s="17">
        <v>9</v>
      </c>
      <c r="U14" s="11">
        <v>0</v>
      </c>
      <c r="V14" s="11" t="s">
        <v>123</v>
      </c>
      <c r="W14" s="11">
        <v>16</v>
      </c>
      <c r="X14" s="11">
        <v>0</v>
      </c>
      <c r="Y14" s="11">
        <v>0</v>
      </c>
      <c r="Z14" s="11" t="s">
        <v>123</v>
      </c>
      <c r="AA14" s="11">
        <v>0</v>
      </c>
      <c r="AB14" s="16">
        <v>0.377</v>
      </c>
      <c r="AC14" s="16">
        <v>0.623</v>
      </c>
      <c r="AD14" s="16">
        <v>1.7999999999999999E-2</v>
      </c>
      <c r="AE14" s="16">
        <v>0.34499999999999997</v>
      </c>
      <c r="AF14" s="16">
        <v>0.25700000000000001</v>
      </c>
      <c r="AG14" s="16">
        <v>0.152</v>
      </c>
      <c r="AH14" s="16">
        <v>0.18099999999999999</v>
      </c>
      <c r="AI14" s="16">
        <v>4.1000000000000002E-2</v>
      </c>
      <c r="AJ14" s="16">
        <v>6.0000000000000001E-3</v>
      </c>
      <c r="AK14" s="16">
        <v>0.96399999999999997</v>
      </c>
      <c r="AL14" s="16">
        <v>3.5999999999999997E-2</v>
      </c>
    </row>
    <row r="15" spans="1:44" ht="20.100000000000001" customHeight="1" x14ac:dyDescent="0.15">
      <c r="A15" s="14">
        <v>46091</v>
      </c>
      <c r="B15" s="11" t="s">
        <v>141</v>
      </c>
      <c r="C15" s="17">
        <v>8427</v>
      </c>
      <c r="D15" s="17">
        <v>6737</v>
      </c>
      <c r="E15" s="13">
        <v>3.125E-2</v>
      </c>
      <c r="F15" s="11">
        <v>12</v>
      </c>
      <c r="G15" s="11">
        <v>2</v>
      </c>
      <c r="H15" s="16">
        <v>0.40300000000000002</v>
      </c>
      <c r="I15" s="16">
        <v>0</v>
      </c>
      <c r="J15" s="16">
        <v>7.0000000000000001E-3</v>
      </c>
      <c r="K15" s="16">
        <v>2E-3</v>
      </c>
      <c r="L15" s="16">
        <v>0</v>
      </c>
      <c r="M15" s="16">
        <v>0</v>
      </c>
      <c r="N15" s="16">
        <v>0.36199999999999999</v>
      </c>
      <c r="O15" s="16">
        <v>0.182</v>
      </c>
      <c r="P15" s="16">
        <v>0.183</v>
      </c>
      <c r="Q15" s="16">
        <v>3.5000000000000003E-2</v>
      </c>
      <c r="R15" s="16">
        <v>8.6999999999999994E-2</v>
      </c>
      <c r="S15" s="16">
        <v>0.14499999999999999</v>
      </c>
      <c r="T15" s="17">
        <v>81</v>
      </c>
      <c r="U15" s="11">
        <v>2</v>
      </c>
      <c r="V15" s="11">
        <v>2</v>
      </c>
      <c r="W15" s="11">
        <v>48</v>
      </c>
      <c r="X15" s="11">
        <v>1</v>
      </c>
      <c r="Y15" s="11">
        <v>2</v>
      </c>
      <c r="Z15" s="11" t="s">
        <v>123</v>
      </c>
      <c r="AA15" s="11">
        <v>12</v>
      </c>
      <c r="AB15" s="16">
        <v>0.14299999999999999</v>
      </c>
      <c r="AC15" s="16">
        <v>0.85699999999999998</v>
      </c>
      <c r="AD15" s="16">
        <v>3.0000000000000001E-3</v>
      </c>
      <c r="AE15" s="16">
        <v>0.19400000000000001</v>
      </c>
      <c r="AF15" s="16">
        <v>0.36099999999999999</v>
      </c>
      <c r="AG15" s="16">
        <v>0.26700000000000002</v>
      </c>
      <c r="AH15" s="16">
        <v>0.14000000000000001</v>
      </c>
      <c r="AI15" s="16">
        <v>3.3000000000000002E-2</v>
      </c>
      <c r="AJ15" s="16">
        <v>2E-3</v>
      </c>
      <c r="AK15" s="16">
        <v>0.73899999999999999</v>
      </c>
      <c r="AL15" s="16">
        <v>0.26100000000000001</v>
      </c>
    </row>
    <row r="16" spans="1:44" ht="20.100000000000001" customHeight="1" x14ac:dyDescent="0.15">
      <c r="A16" s="14">
        <v>46090</v>
      </c>
      <c r="B16" s="11" t="s">
        <v>142</v>
      </c>
      <c r="C16" s="17">
        <v>2848</v>
      </c>
      <c r="D16" s="17">
        <v>1657</v>
      </c>
      <c r="E16" s="13">
        <v>3.472222222222222E-3</v>
      </c>
      <c r="F16" s="11">
        <v>5</v>
      </c>
      <c r="G16" s="11">
        <v>0</v>
      </c>
      <c r="H16" s="16">
        <v>0.56699999999999995</v>
      </c>
      <c r="I16" s="16">
        <v>0</v>
      </c>
      <c r="J16" s="16">
        <v>1.7999999999999999E-2</v>
      </c>
      <c r="K16" s="16">
        <v>1E-3</v>
      </c>
      <c r="L16" s="16">
        <v>1E-3</v>
      </c>
      <c r="M16" s="16">
        <v>0</v>
      </c>
      <c r="N16" s="16">
        <v>0.156</v>
      </c>
      <c r="O16" s="16">
        <v>0.46500000000000002</v>
      </c>
      <c r="P16" s="16">
        <v>4.5999999999999999E-2</v>
      </c>
      <c r="Q16" s="16" t="s">
        <v>123</v>
      </c>
      <c r="R16" s="16">
        <v>0.32800000000000001</v>
      </c>
      <c r="S16" s="16" t="s">
        <v>123</v>
      </c>
      <c r="T16" s="17">
        <v>14</v>
      </c>
      <c r="U16" s="11">
        <v>0</v>
      </c>
      <c r="V16" s="11" t="s">
        <v>123</v>
      </c>
      <c r="W16" s="11">
        <v>30</v>
      </c>
      <c r="X16" s="11">
        <v>0</v>
      </c>
      <c r="Y16" s="11">
        <v>1</v>
      </c>
      <c r="Z16" s="11" t="s">
        <v>123</v>
      </c>
      <c r="AA16" s="11">
        <v>2</v>
      </c>
      <c r="AB16" s="16">
        <v>0.33400000000000002</v>
      </c>
      <c r="AC16" s="16">
        <v>0.66600000000000004</v>
      </c>
      <c r="AD16" s="16">
        <v>1.2999999999999999E-2</v>
      </c>
      <c r="AE16" s="16">
        <v>0.39200000000000002</v>
      </c>
      <c r="AF16" s="16">
        <v>0.27800000000000002</v>
      </c>
      <c r="AG16" s="16">
        <v>0.13300000000000001</v>
      </c>
      <c r="AH16" s="16">
        <v>0.13900000000000001</v>
      </c>
      <c r="AI16" s="16">
        <v>4.3999999999999997E-2</v>
      </c>
      <c r="AJ16" s="16">
        <v>0</v>
      </c>
      <c r="AK16" s="16">
        <v>0.95699999999999996</v>
      </c>
      <c r="AL16" s="16">
        <v>4.2999999999999997E-2</v>
      </c>
    </row>
    <row r="17" spans="1:38" ht="20.100000000000001" customHeight="1" x14ac:dyDescent="0.15">
      <c r="A17" s="14">
        <v>46083</v>
      </c>
      <c r="B17" s="11" t="s">
        <v>143</v>
      </c>
      <c r="C17" s="17">
        <v>4371</v>
      </c>
      <c r="D17" s="17">
        <v>2566</v>
      </c>
      <c r="E17" s="13">
        <v>3.472222222222222E-3</v>
      </c>
      <c r="F17" s="11">
        <v>6</v>
      </c>
      <c r="G17" s="11">
        <v>2</v>
      </c>
      <c r="H17" s="16">
        <v>0.56200000000000006</v>
      </c>
      <c r="I17" s="16">
        <v>0</v>
      </c>
      <c r="J17" s="16">
        <v>1.2E-2</v>
      </c>
      <c r="K17" s="16">
        <v>1E-3</v>
      </c>
      <c r="L17" s="16">
        <v>0</v>
      </c>
      <c r="M17" s="16">
        <v>0</v>
      </c>
      <c r="N17" s="16">
        <v>0.36499999999999999</v>
      </c>
      <c r="O17" s="16" t="s">
        <v>144</v>
      </c>
      <c r="P17" s="16">
        <v>0.14099999999999999</v>
      </c>
      <c r="Q17" s="16" t="s">
        <v>123</v>
      </c>
      <c r="R17" s="16">
        <v>0.19700000000000001</v>
      </c>
      <c r="S17" s="16" t="s">
        <v>123</v>
      </c>
      <c r="T17" s="17">
        <v>19</v>
      </c>
      <c r="U17" s="11">
        <v>2</v>
      </c>
      <c r="V17" s="11" t="s">
        <v>123</v>
      </c>
      <c r="W17" s="11">
        <v>30</v>
      </c>
      <c r="X17" s="11">
        <v>0</v>
      </c>
      <c r="Y17" s="11">
        <v>1</v>
      </c>
      <c r="Z17" s="11" t="s">
        <v>123</v>
      </c>
      <c r="AA17" s="11">
        <v>3</v>
      </c>
      <c r="AB17" s="16">
        <v>0.217</v>
      </c>
      <c r="AC17" s="16">
        <v>0.78300000000000003</v>
      </c>
      <c r="AD17" s="16">
        <v>2.3E-2</v>
      </c>
      <c r="AE17" s="16">
        <v>0.33800000000000002</v>
      </c>
      <c r="AF17" s="16">
        <v>0.25600000000000001</v>
      </c>
      <c r="AG17" s="16">
        <v>0.19500000000000001</v>
      </c>
      <c r="AH17" s="16">
        <v>0.14299999999999999</v>
      </c>
      <c r="AI17" s="16">
        <v>4.4999999999999998E-2</v>
      </c>
      <c r="AJ17" s="16">
        <v>0</v>
      </c>
      <c r="AK17" s="16">
        <v>0.97099999999999997</v>
      </c>
      <c r="AL17" s="16">
        <v>2.9000000000000001E-2</v>
      </c>
    </row>
    <row r="18" spans="1:38" ht="20.100000000000001" customHeight="1" x14ac:dyDescent="0.15">
      <c r="A18" s="14">
        <v>46079</v>
      </c>
      <c r="B18" s="11" t="s">
        <v>145</v>
      </c>
      <c r="C18" s="17">
        <v>2647</v>
      </c>
      <c r="D18" s="17">
        <v>1847</v>
      </c>
      <c r="E18" s="13">
        <v>3.472222222222222E-3</v>
      </c>
      <c r="F18" s="11">
        <v>4</v>
      </c>
      <c r="G18" s="11">
        <v>2</v>
      </c>
      <c r="H18" s="16">
        <v>0.61899999999999999</v>
      </c>
      <c r="I18" s="16">
        <v>0</v>
      </c>
      <c r="J18" s="16">
        <v>1.6E-2</v>
      </c>
      <c r="K18" s="16">
        <v>0</v>
      </c>
      <c r="L18" s="16">
        <v>1E-3</v>
      </c>
      <c r="M18" s="16">
        <v>0</v>
      </c>
      <c r="N18" s="16">
        <v>0.251</v>
      </c>
      <c r="O18" s="16">
        <v>0.40600000000000003</v>
      </c>
      <c r="P18" s="16">
        <v>0.09</v>
      </c>
      <c r="R18" s="16">
        <v>0.251</v>
      </c>
      <c r="T18" s="17">
        <v>22</v>
      </c>
      <c r="U18" s="11">
        <v>2</v>
      </c>
      <c r="W18" s="11">
        <v>28</v>
      </c>
      <c r="X18" s="11">
        <v>0</v>
      </c>
      <c r="Y18" s="11">
        <v>1</v>
      </c>
      <c r="AA18" s="11">
        <v>0</v>
      </c>
      <c r="AB18" s="16">
        <v>0.29099999999999998</v>
      </c>
      <c r="AC18" s="16">
        <v>0.70899999999999996</v>
      </c>
      <c r="AD18" s="16">
        <v>1.7999999999999999E-2</v>
      </c>
      <c r="AE18" s="16">
        <v>0.372</v>
      </c>
      <c r="AF18" s="16">
        <v>0.31</v>
      </c>
      <c r="AG18" s="16">
        <v>0.159</v>
      </c>
      <c r="AH18" s="16" t="s">
        <v>146</v>
      </c>
      <c r="AI18" s="16">
        <v>5.2999999999999999E-2</v>
      </c>
      <c r="AJ18" s="16">
        <v>0</v>
      </c>
      <c r="AK18" s="16">
        <v>1</v>
      </c>
      <c r="AL18" s="16">
        <v>0</v>
      </c>
    </row>
    <row r="19" spans="1:38" ht="20.100000000000001" customHeight="1" x14ac:dyDescent="0.15">
      <c r="A19" s="14">
        <v>46077</v>
      </c>
      <c r="B19" s="11" t="s">
        <v>147</v>
      </c>
      <c r="C19" s="17">
        <v>2910</v>
      </c>
      <c r="D19" s="17">
        <v>1698</v>
      </c>
      <c r="E19" s="13">
        <v>2.7777777777777779E-3</v>
      </c>
      <c r="F19" s="11">
        <v>4</v>
      </c>
      <c r="G19" s="11">
        <v>0</v>
      </c>
      <c r="H19" s="16">
        <v>0.60899999999999999</v>
      </c>
      <c r="I19" s="16">
        <v>0</v>
      </c>
      <c r="J19" s="16">
        <v>1.4E-2</v>
      </c>
      <c r="K19" s="16">
        <v>2E-3</v>
      </c>
      <c r="L19" s="16">
        <v>0</v>
      </c>
      <c r="M19" s="16">
        <v>0</v>
      </c>
      <c r="N19" s="16">
        <v>0.155</v>
      </c>
      <c r="O19" s="16">
        <v>0.47799999999999998</v>
      </c>
      <c r="P19" s="16">
        <v>4.7E-2</v>
      </c>
      <c r="R19" s="16">
        <v>0.31900000000000001</v>
      </c>
      <c r="T19" s="17">
        <v>14</v>
      </c>
      <c r="U19" s="11">
        <v>0</v>
      </c>
      <c r="V19" s="11">
        <v>1</v>
      </c>
      <c r="W19" s="11">
        <v>24</v>
      </c>
      <c r="X19" s="11">
        <v>0</v>
      </c>
      <c r="Y19" s="11">
        <v>0</v>
      </c>
      <c r="AA19" s="11">
        <v>3</v>
      </c>
      <c r="AB19" s="16">
        <v>0.32700000000000001</v>
      </c>
      <c r="AC19" s="16">
        <v>0.67300000000000004</v>
      </c>
      <c r="AD19" s="16">
        <v>2.1000000000000001E-2</v>
      </c>
      <c r="AE19" s="16">
        <v>0.34</v>
      </c>
      <c r="AF19" s="16">
        <v>0.32600000000000001</v>
      </c>
      <c r="AG19" s="16">
        <v>0.17699999999999999</v>
      </c>
      <c r="AH19" s="16">
        <v>7.8E-2</v>
      </c>
      <c r="AI19" s="16">
        <v>5.7000000000000002E-2</v>
      </c>
      <c r="AJ19" s="16">
        <v>0</v>
      </c>
      <c r="AK19" s="16">
        <v>1</v>
      </c>
      <c r="AL19" s="16">
        <v>0</v>
      </c>
    </row>
    <row r="20" spans="1:38" ht="20.100000000000001" customHeight="1" x14ac:dyDescent="0.15">
      <c r="A20" s="14">
        <v>46075</v>
      </c>
      <c r="B20" s="11" t="s">
        <v>148</v>
      </c>
      <c r="C20" s="17">
        <v>2406</v>
      </c>
      <c r="D20" s="17">
        <v>1550</v>
      </c>
      <c r="E20" s="13">
        <v>3.472222222222222E-3</v>
      </c>
      <c r="F20" s="11">
        <v>4</v>
      </c>
      <c r="G20" s="11">
        <v>0</v>
      </c>
      <c r="H20" s="16">
        <v>0.64300000000000002</v>
      </c>
      <c r="I20" s="16">
        <v>0</v>
      </c>
      <c r="J20" s="16">
        <v>1.9E-2</v>
      </c>
      <c r="K20" s="16">
        <v>1E-3</v>
      </c>
      <c r="L20" s="16">
        <v>1E-3</v>
      </c>
      <c r="M20" s="16">
        <v>0</v>
      </c>
      <c r="N20" s="16">
        <v>0.17</v>
      </c>
      <c r="O20" s="16">
        <v>0.48899999999999999</v>
      </c>
      <c r="P20" s="16">
        <v>6.4000000000000001E-2</v>
      </c>
      <c r="R20" s="16">
        <v>0.27500000000000002</v>
      </c>
      <c r="S20" s="16">
        <v>2E-3</v>
      </c>
      <c r="T20" s="17">
        <v>15</v>
      </c>
      <c r="U20" s="11">
        <v>0</v>
      </c>
      <c r="V20" s="11">
        <v>1</v>
      </c>
      <c r="W20" s="11">
        <v>28</v>
      </c>
      <c r="X20" s="11">
        <v>0</v>
      </c>
      <c r="Y20" s="11">
        <v>2</v>
      </c>
      <c r="AA20" s="11">
        <v>2</v>
      </c>
      <c r="AB20" s="16">
        <v>0.31900000000000001</v>
      </c>
      <c r="AC20" s="16">
        <v>0.68100000000000005</v>
      </c>
      <c r="AD20" s="16">
        <v>0.02</v>
      </c>
      <c r="AE20" s="16">
        <v>0.36</v>
      </c>
      <c r="AF20" s="16">
        <v>0.28000000000000003</v>
      </c>
      <c r="AG20" s="16">
        <v>0.16</v>
      </c>
      <c r="AH20" s="16">
        <v>0.12</v>
      </c>
      <c r="AI20" s="16">
        <v>0.06</v>
      </c>
      <c r="AJ20" s="16">
        <v>0</v>
      </c>
      <c r="AK20" s="16">
        <v>1</v>
      </c>
      <c r="AL20" s="16">
        <v>0</v>
      </c>
    </row>
    <row r="21" spans="1:38" ht="20.100000000000001" customHeight="1" x14ac:dyDescent="0.15">
      <c r="A21" s="14">
        <v>46069</v>
      </c>
      <c r="B21" s="11" t="s">
        <v>149</v>
      </c>
      <c r="C21" s="17">
        <v>112260</v>
      </c>
      <c r="D21" s="17">
        <v>49995</v>
      </c>
      <c r="E21" s="13">
        <v>3.472222222222222E-3</v>
      </c>
      <c r="F21" s="11">
        <v>12</v>
      </c>
      <c r="G21" s="11">
        <v>69</v>
      </c>
      <c r="H21" s="16">
        <v>0.44900000000000001</v>
      </c>
      <c r="I21" s="16">
        <v>0</v>
      </c>
      <c r="J21" s="16">
        <v>8.0000000000000002E-3</v>
      </c>
      <c r="K21" s="16">
        <v>3.0000000000000001E-3</v>
      </c>
      <c r="L21" s="16">
        <v>0</v>
      </c>
      <c r="M21" s="16">
        <v>0</v>
      </c>
      <c r="N21" s="16">
        <v>0.61299999999999999</v>
      </c>
      <c r="O21" s="16">
        <v>3.7999999999999999E-2</v>
      </c>
      <c r="P21" s="16">
        <v>0.32900000000000001</v>
      </c>
      <c r="R21" s="16">
        <v>1.2E-2</v>
      </c>
      <c r="S21" s="16">
        <v>8.0000000000000002E-3</v>
      </c>
      <c r="T21" s="17">
        <v>561</v>
      </c>
      <c r="U21" s="11">
        <v>69</v>
      </c>
      <c r="V21" s="11">
        <v>2</v>
      </c>
      <c r="W21" s="11">
        <v>407</v>
      </c>
      <c r="X21" s="11">
        <v>4</v>
      </c>
      <c r="Y21" s="11">
        <v>11</v>
      </c>
      <c r="AA21" s="11">
        <v>153</v>
      </c>
      <c r="AB21" s="16">
        <v>1.7999999999999999E-2</v>
      </c>
      <c r="AC21" s="16">
        <v>0.98199999999999998</v>
      </c>
      <c r="AD21" s="16">
        <v>0.05</v>
      </c>
      <c r="AE21" s="16">
        <v>0.433</v>
      </c>
      <c r="AF21" s="16">
        <v>0.30299999999999999</v>
      </c>
      <c r="AG21" s="16">
        <v>0.124</v>
      </c>
      <c r="AH21" s="16">
        <v>0.05</v>
      </c>
      <c r="AI21" s="16">
        <v>0.04</v>
      </c>
      <c r="AJ21" s="16">
        <v>0</v>
      </c>
      <c r="AK21" s="16">
        <v>1</v>
      </c>
      <c r="AL21" s="16">
        <v>0</v>
      </c>
    </row>
    <row r="22" spans="1:38" ht="20.100000000000001" customHeight="1" x14ac:dyDescent="0.15">
      <c r="A22" s="14">
        <v>46048</v>
      </c>
      <c r="B22" s="11" t="s">
        <v>150</v>
      </c>
      <c r="C22" s="17">
        <v>2882</v>
      </c>
      <c r="D22" s="17">
        <v>2213</v>
      </c>
      <c r="E22" s="13">
        <v>3.1944444444444442E-2</v>
      </c>
      <c r="F22" s="11">
        <v>9</v>
      </c>
      <c r="G22" s="11">
        <v>2</v>
      </c>
      <c r="H22" s="16">
        <v>0.499</v>
      </c>
      <c r="I22" s="16">
        <v>0</v>
      </c>
      <c r="J22" s="16">
        <v>2.1000000000000001E-2</v>
      </c>
      <c r="K22" s="16">
        <v>1E-3</v>
      </c>
      <c r="L22" s="16">
        <v>0</v>
      </c>
      <c r="M22" s="16">
        <v>0</v>
      </c>
      <c r="N22" s="16">
        <v>0.189</v>
      </c>
      <c r="O22" s="16">
        <v>0.38100000000000001</v>
      </c>
      <c r="P22" s="16">
        <v>0.06</v>
      </c>
      <c r="Q22" s="16">
        <v>1E-3</v>
      </c>
      <c r="R22" s="16">
        <v>0.36099999999999999</v>
      </c>
      <c r="T22" s="17">
        <v>18</v>
      </c>
      <c r="U22" s="11">
        <v>2</v>
      </c>
      <c r="V22" s="11">
        <v>1</v>
      </c>
      <c r="W22" s="11">
        <v>48</v>
      </c>
      <c r="X22" s="11">
        <v>0</v>
      </c>
      <c r="Y22" s="11">
        <v>1</v>
      </c>
      <c r="AA22" s="11">
        <v>4</v>
      </c>
      <c r="AB22" s="16">
        <v>0.26700000000000002</v>
      </c>
      <c r="AC22" s="16">
        <v>0.73299999999999998</v>
      </c>
      <c r="AD22" s="16">
        <v>1.0999999999999999E-2</v>
      </c>
      <c r="AE22" s="16">
        <v>0.29699999999999999</v>
      </c>
      <c r="AF22" s="16">
        <v>0.35199999999999998</v>
      </c>
      <c r="AG22" s="16">
        <v>0.187</v>
      </c>
      <c r="AH22" s="16" t="s">
        <v>151</v>
      </c>
      <c r="AI22" s="16" t="s">
        <v>151</v>
      </c>
      <c r="AJ22" s="16">
        <v>0</v>
      </c>
      <c r="AK22" s="16">
        <v>0.97299999999999998</v>
      </c>
      <c r="AL22" s="16">
        <v>2.7E-2</v>
      </c>
    </row>
    <row r="23" spans="1:38" ht="20.100000000000001" customHeight="1" x14ac:dyDescent="0.15">
      <c r="A23" s="14">
        <v>46046</v>
      </c>
      <c r="B23" s="11" t="s">
        <v>152</v>
      </c>
      <c r="C23" s="17">
        <v>2413</v>
      </c>
      <c r="D23" s="17">
        <v>1925</v>
      </c>
      <c r="E23" s="13">
        <v>3.4027777777777775E-2</v>
      </c>
      <c r="F23" s="11">
        <v>8</v>
      </c>
      <c r="G23" s="11">
        <v>0</v>
      </c>
      <c r="H23" s="16">
        <v>0.58799999999999997</v>
      </c>
      <c r="I23" s="16">
        <v>0</v>
      </c>
      <c r="J23" s="16">
        <v>0.02</v>
      </c>
      <c r="K23" s="16">
        <v>1E-3</v>
      </c>
      <c r="L23" s="16">
        <v>1E-3</v>
      </c>
      <c r="M23" s="16">
        <v>0</v>
      </c>
      <c r="N23" s="16">
        <v>0.193</v>
      </c>
      <c r="O23" s="16">
        <v>0.34200000000000003</v>
      </c>
      <c r="P23" s="16">
        <v>7.8E-2</v>
      </c>
      <c r="R23" s="16">
        <v>0.38500000000000001</v>
      </c>
      <c r="T23" s="17">
        <v>9</v>
      </c>
      <c r="U23" s="11">
        <v>0</v>
      </c>
      <c r="W23" s="11">
        <v>38</v>
      </c>
      <c r="X23" s="11">
        <v>0</v>
      </c>
      <c r="Y23" s="11">
        <v>1</v>
      </c>
      <c r="AA23" s="11">
        <v>2</v>
      </c>
      <c r="AB23" s="16">
        <v>0.26200000000000001</v>
      </c>
      <c r="AC23" s="16">
        <v>0.73799999999999999</v>
      </c>
      <c r="AD23" s="16">
        <v>0</v>
      </c>
      <c r="AE23" s="16">
        <v>0.247</v>
      </c>
      <c r="AF23" s="16">
        <v>0.40400000000000003</v>
      </c>
      <c r="AG23" s="16">
        <v>0.14599999999999999</v>
      </c>
      <c r="AH23" s="16">
        <v>0.10100000000000001</v>
      </c>
      <c r="AI23" s="16">
        <v>0.09</v>
      </c>
      <c r="AJ23" s="16">
        <v>1.0999999999999999E-2</v>
      </c>
      <c r="AK23" s="16">
        <v>1</v>
      </c>
      <c r="AL23" s="16">
        <v>0</v>
      </c>
    </row>
    <row r="24" spans="1:38" ht="20.100000000000001" customHeight="1" x14ac:dyDescent="0.15">
      <c r="A24" s="14">
        <v>46043</v>
      </c>
      <c r="B24" s="11" t="s">
        <v>153</v>
      </c>
      <c r="C24" s="17">
        <v>3924</v>
      </c>
      <c r="D24" s="17">
        <v>3164</v>
      </c>
      <c r="E24" s="13">
        <v>3.5416666666666666E-2</v>
      </c>
      <c r="F24" s="11">
        <v>10</v>
      </c>
      <c r="G24" s="11">
        <v>2</v>
      </c>
      <c r="H24" s="16">
        <v>0.51500000000000001</v>
      </c>
      <c r="I24" s="16">
        <v>0</v>
      </c>
      <c r="J24" s="16">
        <v>1.2999999999999999E-2</v>
      </c>
      <c r="K24" s="16">
        <v>1E-3</v>
      </c>
      <c r="L24" s="16">
        <v>0</v>
      </c>
      <c r="M24" s="16">
        <v>0</v>
      </c>
      <c r="N24" s="16">
        <v>0.39300000000000002</v>
      </c>
      <c r="O24" s="16">
        <v>0.28000000000000003</v>
      </c>
      <c r="P24" s="16">
        <v>0.151</v>
      </c>
      <c r="R24" s="16">
        <v>0.17399999999999999</v>
      </c>
      <c r="T24" s="17">
        <v>38</v>
      </c>
      <c r="U24" s="11">
        <v>2</v>
      </c>
      <c r="V24" s="11">
        <v>2</v>
      </c>
      <c r="W24" s="11">
        <v>41</v>
      </c>
      <c r="X24" s="11">
        <v>0</v>
      </c>
      <c r="Y24" s="11">
        <v>1</v>
      </c>
      <c r="AA24" s="11">
        <v>4</v>
      </c>
      <c r="AB24" s="16">
        <v>0.17899999999999999</v>
      </c>
      <c r="AC24" s="16">
        <v>0.82099999999999995</v>
      </c>
      <c r="AD24" s="16">
        <v>1.7999999999999999E-2</v>
      </c>
      <c r="AE24" s="16">
        <v>0.41099999999999998</v>
      </c>
      <c r="AF24" s="16">
        <v>0.23200000000000001</v>
      </c>
      <c r="AG24" s="16">
        <v>0.19600000000000001</v>
      </c>
      <c r="AH24" s="16">
        <v>7.0999999999999994E-2</v>
      </c>
      <c r="AI24" s="16">
        <v>7.0999999999999994E-2</v>
      </c>
      <c r="AJ24" s="16">
        <v>0</v>
      </c>
      <c r="AK24" s="16">
        <v>1</v>
      </c>
      <c r="AL24" s="16">
        <v>0</v>
      </c>
    </row>
    <row r="25" spans="1:38" ht="20.100000000000001" customHeight="1" x14ac:dyDescent="0.15">
      <c r="A25" s="14">
        <v>46041</v>
      </c>
      <c r="B25" s="11" t="s">
        <v>154</v>
      </c>
      <c r="C25" s="17">
        <v>7825</v>
      </c>
      <c r="D25" s="17">
        <v>6654</v>
      </c>
      <c r="E25" s="13">
        <v>3.7499999999999999E-2</v>
      </c>
      <c r="F25" s="11">
        <v>13</v>
      </c>
      <c r="G25" s="11">
        <v>1</v>
      </c>
      <c r="H25" s="16">
        <v>0.46600000000000003</v>
      </c>
      <c r="I25" s="16">
        <v>0</v>
      </c>
      <c r="J25" s="16">
        <v>8.0000000000000002E-3</v>
      </c>
      <c r="K25" s="16">
        <v>3.0000000000000001E-3</v>
      </c>
      <c r="L25" s="16">
        <v>0</v>
      </c>
      <c r="M25" s="16">
        <v>0</v>
      </c>
      <c r="N25" s="16">
        <v>0.51600000000000001</v>
      </c>
      <c r="O25" s="16">
        <v>0.14599999999999999</v>
      </c>
      <c r="P25" s="16">
        <v>0.24099999999999999</v>
      </c>
      <c r="R25" s="16">
        <v>9.4E-2</v>
      </c>
      <c r="S25" s="16">
        <v>1E-3</v>
      </c>
      <c r="T25" s="17">
        <v>122</v>
      </c>
      <c r="U25" s="11">
        <v>1</v>
      </c>
      <c r="V25" s="11">
        <v>3</v>
      </c>
      <c r="W25" s="11">
        <v>55</v>
      </c>
      <c r="X25" s="11">
        <v>0</v>
      </c>
      <c r="Y25" s="11">
        <v>2</v>
      </c>
      <c r="AA25" s="11">
        <v>19</v>
      </c>
      <c r="AB25" s="16">
        <v>9.1999999999999998E-2</v>
      </c>
      <c r="AC25" s="16">
        <v>0.90800000000000003</v>
      </c>
      <c r="AD25" s="16">
        <v>0</v>
      </c>
      <c r="AE25" s="16">
        <v>0.36499999999999999</v>
      </c>
      <c r="AF25" s="16">
        <v>0.27</v>
      </c>
      <c r="AG25" s="16">
        <v>0.19</v>
      </c>
      <c r="AH25" s="16">
        <v>4.8000000000000001E-2</v>
      </c>
      <c r="AI25" s="16">
        <v>0.127</v>
      </c>
      <c r="AJ25" s="16">
        <v>0</v>
      </c>
      <c r="AK25" s="16">
        <v>1</v>
      </c>
      <c r="AL25" s="16">
        <v>0</v>
      </c>
    </row>
    <row r="26" spans="1:38" ht="20.100000000000001" customHeight="1" x14ac:dyDescent="0.15">
      <c r="A26" s="14">
        <v>46039</v>
      </c>
      <c r="B26" s="11" t="s">
        <v>155</v>
      </c>
      <c r="C26" s="17">
        <v>7067</v>
      </c>
      <c r="D26" s="17">
        <v>4219</v>
      </c>
      <c r="E26" s="13">
        <v>4.1666666666666666E-3</v>
      </c>
      <c r="F26" s="11">
        <v>6</v>
      </c>
      <c r="G26" s="11">
        <v>2</v>
      </c>
      <c r="H26" s="16">
        <v>0.59499999999999997</v>
      </c>
      <c r="I26" s="16">
        <v>0</v>
      </c>
      <c r="J26" s="16">
        <v>7.0000000000000001E-3</v>
      </c>
      <c r="K26" s="16">
        <v>0</v>
      </c>
      <c r="L26" s="16">
        <v>0</v>
      </c>
      <c r="M26" s="16">
        <v>0</v>
      </c>
      <c r="N26" s="16">
        <v>0.46899999999999997</v>
      </c>
      <c r="O26" s="16">
        <v>0.17199999999999999</v>
      </c>
      <c r="P26" s="16">
        <v>0.20200000000000001</v>
      </c>
      <c r="R26" s="16">
        <v>0.155</v>
      </c>
      <c r="T26" s="17">
        <v>42</v>
      </c>
      <c r="U26" s="11">
        <v>2</v>
      </c>
      <c r="W26" s="11">
        <v>28</v>
      </c>
      <c r="X26" s="11">
        <v>0</v>
      </c>
      <c r="Y26" s="11">
        <v>1</v>
      </c>
      <c r="AA26" s="11">
        <v>1</v>
      </c>
      <c r="AB26" s="16">
        <v>0.121</v>
      </c>
      <c r="AC26" s="16">
        <v>0.879</v>
      </c>
      <c r="AD26" s="16">
        <v>0</v>
      </c>
      <c r="AE26" s="16">
        <v>0.377</v>
      </c>
      <c r="AF26" s="16">
        <v>0.26400000000000001</v>
      </c>
      <c r="AG26" s="16">
        <v>0.189</v>
      </c>
      <c r="AH26" s="16">
        <v>5.7000000000000002E-2</v>
      </c>
      <c r="AI26" s="16">
        <v>0.113</v>
      </c>
      <c r="AJ26" s="16">
        <v>0</v>
      </c>
      <c r="AK26" s="16">
        <v>1</v>
      </c>
      <c r="AL26" s="16">
        <v>0</v>
      </c>
    </row>
    <row r="27" spans="1:38" ht="20.100000000000001" customHeight="1" x14ac:dyDescent="0.15">
      <c r="A27" s="14">
        <v>46035</v>
      </c>
      <c r="B27" s="18" t="s">
        <v>156</v>
      </c>
      <c r="C27" s="17">
        <v>4019</v>
      </c>
      <c r="D27" s="17">
        <v>2338</v>
      </c>
      <c r="E27" s="13">
        <v>2.7777777777777779E-3</v>
      </c>
      <c r="F27" s="11">
        <v>5</v>
      </c>
      <c r="G27" s="11">
        <v>1</v>
      </c>
      <c r="H27" s="16">
        <v>0.60499999999999998</v>
      </c>
      <c r="I27" s="16">
        <v>0</v>
      </c>
      <c r="J27" s="16">
        <v>1.6E-2</v>
      </c>
      <c r="K27" s="16">
        <v>2E-3</v>
      </c>
      <c r="L27" s="16">
        <v>0</v>
      </c>
      <c r="M27" s="16">
        <v>0</v>
      </c>
      <c r="N27" s="16">
        <v>0.252</v>
      </c>
      <c r="O27" s="16">
        <v>0.312</v>
      </c>
      <c r="P27" s="16">
        <v>0.127</v>
      </c>
      <c r="R27" s="16">
        <v>0.26800000000000002</v>
      </c>
      <c r="S27" s="16">
        <v>4.1000000000000002E-2</v>
      </c>
      <c r="T27" s="17">
        <v>28</v>
      </c>
      <c r="U27" s="11">
        <v>1</v>
      </c>
      <c r="W27" s="11">
        <v>38</v>
      </c>
      <c r="X27" s="11">
        <v>0</v>
      </c>
      <c r="Y27" s="11">
        <v>1</v>
      </c>
      <c r="AA27" s="11">
        <v>4</v>
      </c>
      <c r="AB27" s="16">
        <v>0.23400000000000001</v>
      </c>
      <c r="AC27" s="16">
        <v>0.76600000000000001</v>
      </c>
      <c r="AD27" s="16">
        <v>8.9999999999999993E-3</v>
      </c>
      <c r="AE27" s="16">
        <v>0.39300000000000002</v>
      </c>
      <c r="AF27" s="16">
        <v>0.30399999999999999</v>
      </c>
      <c r="AG27" s="16">
        <v>0.161</v>
      </c>
      <c r="AH27" s="16">
        <v>6.3E-2</v>
      </c>
      <c r="AI27" s="16">
        <v>7.0999999999999994E-2</v>
      </c>
      <c r="AJ27" s="16">
        <v>0</v>
      </c>
      <c r="AK27" s="16">
        <v>1</v>
      </c>
      <c r="AL27" s="16">
        <v>0</v>
      </c>
    </row>
    <row r="28" spans="1:38" ht="20.100000000000001" customHeight="1" x14ac:dyDescent="0.15">
      <c r="A28" s="14">
        <v>46031</v>
      </c>
      <c r="B28" s="11" t="s">
        <v>157</v>
      </c>
      <c r="C28" s="17">
        <v>11463</v>
      </c>
      <c r="D28" s="17">
        <v>6451</v>
      </c>
      <c r="E28" s="13">
        <v>4.1666666666666666E-3</v>
      </c>
      <c r="F28" s="11">
        <v>7</v>
      </c>
      <c r="G28" s="11">
        <v>3</v>
      </c>
      <c r="H28" s="16">
        <v>0.61899999999999999</v>
      </c>
      <c r="I28" s="16">
        <v>0</v>
      </c>
      <c r="J28" s="16">
        <v>7.0000000000000001E-3</v>
      </c>
      <c r="K28" s="16">
        <v>4.0000000000000001E-3</v>
      </c>
      <c r="L28" s="16">
        <v>0</v>
      </c>
      <c r="M28" s="16">
        <v>0</v>
      </c>
      <c r="N28" s="16">
        <v>0.55600000000000005</v>
      </c>
      <c r="O28" s="16">
        <v>0.13200000000000001</v>
      </c>
      <c r="P28" s="16">
        <v>0.22700000000000001</v>
      </c>
      <c r="R28" s="16">
        <v>8.2000000000000003E-2</v>
      </c>
      <c r="S28" s="16">
        <v>2E-3</v>
      </c>
      <c r="T28" s="17">
        <v>43</v>
      </c>
      <c r="U28" s="11">
        <v>3</v>
      </c>
      <c r="W28" s="11">
        <v>45</v>
      </c>
      <c r="X28" s="11">
        <v>0</v>
      </c>
      <c r="Y28" s="11">
        <v>1</v>
      </c>
      <c r="AA28" s="11">
        <v>26</v>
      </c>
      <c r="AB28" s="16">
        <v>0.10100000000000001</v>
      </c>
      <c r="AC28" s="16">
        <v>0.89900000000000002</v>
      </c>
      <c r="AD28" s="16">
        <v>1.7000000000000001E-2</v>
      </c>
      <c r="AE28" s="16">
        <v>0.65500000000000003</v>
      </c>
      <c r="AF28" s="16">
        <v>0.155</v>
      </c>
      <c r="AG28" s="16">
        <v>8.5999999999999993E-2</v>
      </c>
      <c r="AH28" s="16">
        <v>5.1999999999999998E-2</v>
      </c>
      <c r="AI28" s="16">
        <v>3.4000000000000002E-2</v>
      </c>
      <c r="AJ28" s="16">
        <v>0</v>
      </c>
      <c r="AK28" s="16">
        <v>1</v>
      </c>
      <c r="AL28" s="16">
        <v>0</v>
      </c>
    </row>
    <row r="29" spans="1:38" ht="20.100000000000001" customHeight="1" x14ac:dyDescent="0.15">
      <c r="A29" s="14">
        <v>46016</v>
      </c>
      <c r="B29" s="11" t="s">
        <v>158</v>
      </c>
      <c r="C29" s="17">
        <v>1405595</v>
      </c>
      <c r="D29" s="17">
        <v>690102</v>
      </c>
      <c r="E29" s="13">
        <v>3.472222222222222E-3</v>
      </c>
      <c r="F29" s="11">
        <v>9</v>
      </c>
      <c r="G29" s="11">
        <v>323</v>
      </c>
      <c r="H29" s="16">
        <v>0.495</v>
      </c>
      <c r="I29" s="16">
        <v>0</v>
      </c>
      <c r="J29" s="16">
        <v>4.0000000000000001E-3</v>
      </c>
      <c r="K29" s="16">
        <v>1E-3</v>
      </c>
      <c r="L29" s="16">
        <v>0</v>
      </c>
      <c r="M29" s="16">
        <v>0</v>
      </c>
      <c r="N29" s="16">
        <v>0.40799999999999997</v>
      </c>
      <c r="O29" s="16">
        <v>0.42199999999999999</v>
      </c>
      <c r="P29" s="16">
        <v>0.153</v>
      </c>
      <c r="R29" s="16">
        <v>1.2999999999999999E-2</v>
      </c>
      <c r="S29" s="16">
        <v>3.0000000000000001E-3</v>
      </c>
      <c r="T29" s="17">
        <v>8431</v>
      </c>
      <c r="U29" s="11">
        <v>323</v>
      </c>
      <c r="V29" s="11">
        <v>40</v>
      </c>
      <c r="W29" s="11">
        <v>2514</v>
      </c>
      <c r="X29" s="11">
        <v>31</v>
      </c>
      <c r="Y29" s="11">
        <v>61</v>
      </c>
      <c r="AA29" s="11">
        <v>768</v>
      </c>
      <c r="AB29" s="16">
        <v>2E-3</v>
      </c>
      <c r="AC29" s="16">
        <v>0.998</v>
      </c>
      <c r="AD29" s="16">
        <v>7.0000000000000001E-3</v>
      </c>
      <c r="AE29" s="16">
        <v>0.40699999999999997</v>
      </c>
      <c r="AF29" s="16">
        <v>0.36099999999999999</v>
      </c>
      <c r="AG29" s="16">
        <v>0.16500000000000001</v>
      </c>
      <c r="AH29" s="16">
        <v>4.4999999999999998E-2</v>
      </c>
      <c r="AI29" s="16">
        <v>1.0999999999999999E-2</v>
      </c>
      <c r="AJ29" s="16">
        <v>4.0000000000000001E-3</v>
      </c>
      <c r="AK29" s="16">
        <v>0.96399999999999997</v>
      </c>
      <c r="AL29" s="16">
        <v>3.5999999999999997E-2</v>
      </c>
    </row>
    <row r="30" spans="1:38" ht="20.100000000000001" customHeight="1" x14ac:dyDescent="0.15">
      <c r="A30" s="14">
        <v>46010</v>
      </c>
      <c r="B30" s="11" t="s">
        <v>159</v>
      </c>
      <c r="C30" s="17">
        <v>122404</v>
      </c>
      <c r="D30" s="17">
        <v>59435</v>
      </c>
      <c r="E30" s="13">
        <v>3.472222222222222E-3</v>
      </c>
      <c r="F30" s="11">
        <v>10</v>
      </c>
      <c r="G30" s="11">
        <v>120</v>
      </c>
      <c r="H30" s="16">
        <v>0.48599999999999999</v>
      </c>
      <c r="I30" s="16">
        <v>0</v>
      </c>
      <c r="J30" s="16">
        <v>5.0000000000000001E-3</v>
      </c>
      <c r="K30" s="16">
        <v>2E-3</v>
      </c>
      <c r="L30" s="16">
        <v>0</v>
      </c>
      <c r="M30" s="16">
        <v>0</v>
      </c>
      <c r="N30" s="16">
        <v>0.625</v>
      </c>
      <c r="O30" s="16">
        <v>3.1E-2</v>
      </c>
      <c r="P30" s="16">
        <v>0.27500000000000002</v>
      </c>
      <c r="R30" s="16">
        <v>4.3999999999999997E-2</v>
      </c>
      <c r="S30" s="16">
        <v>2.4E-2</v>
      </c>
      <c r="T30" s="17">
        <v>1491</v>
      </c>
      <c r="U30" s="11">
        <v>120</v>
      </c>
      <c r="V30" s="11">
        <v>59</v>
      </c>
      <c r="W30" s="11">
        <v>298</v>
      </c>
      <c r="X30" s="11">
        <v>9</v>
      </c>
      <c r="Y30" s="11">
        <v>10</v>
      </c>
      <c r="AA30" s="11">
        <v>114</v>
      </c>
      <c r="AB30" s="16">
        <v>1.2999999999999999E-2</v>
      </c>
      <c r="AC30" s="16">
        <v>0.98699999999999999</v>
      </c>
      <c r="AD30" s="16">
        <v>1E-3</v>
      </c>
      <c r="AE30" s="16">
        <v>0.182</v>
      </c>
      <c r="AF30" s="16">
        <v>0.43099999999999999</v>
      </c>
      <c r="AG30" s="16">
        <v>0.28299999999999997</v>
      </c>
      <c r="AH30" s="16">
        <v>8.8999999999999996E-2</v>
      </c>
      <c r="AI30" s="16">
        <v>1.2999999999999999E-2</v>
      </c>
      <c r="AJ30" s="16">
        <v>1E-3</v>
      </c>
      <c r="AK30" s="16">
        <v>0.84499999999999997</v>
      </c>
      <c r="AL30" s="16">
        <v>0.155</v>
      </c>
    </row>
    <row r="31" spans="1:38" ht="20.100000000000001" customHeight="1" x14ac:dyDescent="0.15">
      <c r="A31" s="14">
        <v>46007</v>
      </c>
      <c r="B31" s="11" t="s">
        <v>160</v>
      </c>
      <c r="C31" s="17">
        <v>3646</v>
      </c>
      <c r="D31" s="17">
        <v>3076</v>
      </c>
      <c r="E31" s="13">
        <v>4.0972222222222222E-2</v>
      </c>
      <c r="F31" s="11">
        <v>9</v>
      </c>
      <c r="G31" s="11">
        <v>4</v>
      </c>
      <c r="H31" s="16">
        <v>0.53900000000000003</v>
      </c>
      <c r="I31" s="16">
        <v>0</v>
      </c>
      <c r="J31" s="16">
        <v>6.0000000000000001E-3</v>
      </c>
      <c r="K31" s="16">
        <v>0</v>
      </c>
      <c r="L31" s="16">
        <v>0</v>
      </c>
      <c r="M31" s="16">
        <v>0</v>
      </c>
      <c r="N31" s="16">
        <v>0.10199999999999999</v>
      </c>
      <c r="O31" s="16">
        <v>0.19900000000000001</v>
      </c>
      <c r="P31" s="16">
        <v>5.2999999999999999E-2</v>
      </c>
      <c r="Q31" s="16">
        <v>3.7999999999999999E-2</v>
      </c>
      <c r="R31" s="16">
        <v>0.60399999999999998</v>
      </c>
      <c r="T31" s="17">
        <v>29</v>
      </c>
      <c r="U31" s="11">
        <v>4</v>
      </c>
      <c r="V31" s="11">
        <v>1</v>
      </c>
      <c r="W31" s="11">
        <v>18</v>
      </c>
      <c r="X31" s="11">
        <v>0</v>
      </c>
      <c r="Y31" s="11">
        <v>1</v>
      </c>
      <c r="AA31" s="11">
        <v>1</v>
      </c>
      <c r="AB31" s="16">
        <v>0.19400000000000001</v>
      </c>
      <c r="AC31" s="16">
        <v>8.06</v>
      </c>
      <c r="AD31" s="16">
        <v>2.9000000000000001E-2</v>
      </c>
      <c r="AE31" s="16">
        <v>0.42899999999999999</v>
      </c>
      <c r="AF31" s="16">
        <v>0.2</v>
      </c>
      <c r="AG31" s="16">
        <v>0.2</v>
      </c>
      <c r="AH31" s="16">
        <v>0.14299999999999999</v>
      </c>
      <c r="AI31" s="16">
        <v>0</v>
      </c>
      <c r="AJ31" s="16">
        <v>0</v>
      </c>
      <c r="AK31" s="16">
        <v>1</v>
      </c>
      <c r="AL31" s="16">
        <v>0</v>
      </c>
    </row>
    <row r="32" spans="1:38" ht="20.100000000000001" customHeight="1" x14ac:dyDescent="0.15">
      <c r="A32" s="14">
        <v>45999</v>
      </c>
      <c r="B32" s="11" t="s">
        <v>161</v>
      </c>
      <c r="C32" s="17">
        <v>4134</v>
      </c>
      <c r="D32" s="17">
        <v>3314</v>
      </c>
      <c r="E32" s="13">
        <v>3.8194444444444448E-2</v>
      </c>
      <c r="F32" s="11">
        <v>11</v>
      </c>
      <c r="G32" s="11">
        <v>3</v>
      </c>
      <c r="H32" s="16">
        <v>0.6</v>
      </c>
      <c r="I32" s="16">
        <v>0</v>
      </c>
      <c r="J32" s="16">
        <v>0.01</v>
      </c>
      <c r="K32" s="16">
        <v>1E-3</v>
      </c>
      <c r="L32" s="16">
        <v>0</v>
      </c>
      <c r="M32" s="16">
        <v>1E-3</v>
      </c>
      <c r="N32" s="16">
        <v>0.246</v>
      </c>
      <c r="O32" s="16">
        <v>0.183</v>
      </c>
      <c r="P32" s="16">
        <v>0.14099999999999999</v>
      </c>
      <c r="R32" s="16">
        <v>0.42799999999999999</v>
      </c>
      <c r="T32" s="17">
        <v>57</v>
      </c>
      <c r="U32" s="11">
        <v>3</v>
      </c>
      <c r="W32" s="11">
        <v>34</v>
      </c>
      <c r="X32" s="11">
        <v>4</v>
      </c>
      <c r="Y32" s="11">
        <v>1</v>
      </c>
      <c r="AA32" s="11">
        <v>4</v>
      </c>
      <c r="AB32" s="16">
        <v>0.155</v>
      </c>
      <c r="AC32" s="16">
        <v>0.84499999999999997</v>
      </c>
      <c r="AD32" s="16">
        <v>0</v>
      </c>
      <c r="AE32" s="16">
        <v>0.58799999999999997</v>
      </c>
      <c r="AF32" s="16">
        <v>0.17599999999999999</v>
      </c>
      <c r="AG32" s="16">
        <v>0.11799999999999999</v>
      </c>
      <c r="AH32" s="16">
        <v>0.11799999999999999</v>
      </c>
      <c r="AI32" s="16">
        <v>0</v>
      </c>
      <c r="AJ32" s="16">
        <v>0</v>
      </c>
      <c r="AK32" s="16">
        <v>0.88900000000000001</v>
      </c>
      <c r="AL32" s="16">
        <v>0.111</v>
      </c>
    </row>
    <row r="33" spans="1:38" ht="20.100000000000001" customHeight="1" x14ac:dyDescent="0.15">
      <c r="A33" s="14">
        <v>45988</v>
      </c>
      <c r="B33" s="11" t="s">
        <v>162</v>
      </c>
      <c r="C33" s="17">
        <v>5212</v>
      </c>
      <c r="D33" s="17">
        <v>4150</v>
      </c>
      <c r="E33" s="13">
        <v>3.4027777777777775E-2</v>
      </c>
      <c r="F33" s="11">
        <v>16</v>
      </c>
      <c r="G33" s="11">
        <v>3</v>
      </c>
      <c r="H33" s="16">
        <v>0.49199999999999999</v>
      </c>
      <c r="I33" s="16">
        <v>0</v>
      </c>
      <c r="J33" s="16">
        <v>0.01</v>
      </c>
      <c r="K33" s="16">
        <v>2E-3</v>
      </c>
      <c r="L33" s="16">
        <v>0</v>
      </c>
      <c r="M33" s="16">
        <v>0</v>
      </c>
      <c r="N33" s="16">
        <v>0.309</v>
      </c>
      <c r="O33" s="16">
        <v>0.14899999999999999</v>
      </c>
      <c r="P33" s="16">
        <v>0.188</v>
      </c>
      <c r="Q33" s="16">
        <v>2.1000000000000001E-2</v>
      </c>
      <c r="R33" s="16">
        <v>0.32700000000000001</v>
      </c>
      <c r="T33" s="17">
        <v>73</v>
      </c>
      <c r="U33" s="11">
        <v>3</v>
      </c>
      <c r="V33" s="11">
        <v>2</v>
      </c>
      <c r="W33" s="11">
        <v>44</v>
      </c>
      <c r="X33" s="11">
        <v>0</v>
      </c>
      <c r="Y33" s="11">
        <v>2</v>
      </c>
      <c r="AA33" s="11">
        <v>7</v>
      </c>
      <c r="AB33" s="16">
        <v>0.14299999999999999</v>
      </c>
      <c r="AC33" s="16">
        <v>0.85699999999999998</v>
      </c>
      <c r="AD33" s="16">
        <v>0</v>
      </c>
      <c r="AE33" s="16">
        <v>0.54800000000000004</v>
      </c>
      <c r="AF33" s="16">
        <v>0.129</v>
      </c>
      <c r="AG33" s="16">
        <v>0.161</v>
      </c>
      <c r="AH33" s="16">
        <v>0.161</v>
      </c>
      <c r="AI33" s="16">
        <v>0</v>
      </c>
      <c r="AJ33" s="16">
        <v>0</v>
      </c>
      <c r="AK33" s="16">
        <v>1</v>
      </c>
      <c r="AL33" s="16">
        <v>0</v>
      </c>
    </row>
    <row r="34" spans="1:38" ht="20.100000000000001" customHeight="1" x14ac:dyDescent="0.15">
      <c r="A34" s="14">
        <v>45974</v>
      </c>
      <c r="B34" s="11" t="s">
        <v>163</v>
      </c>
      <c r="C34" s="17">
        <v>2394</v>
      </c>
      <c r="D34" s="17">
        <v>2199</v>
      </c>
      <c r="E34" s="13">
        <v>3.0555555555555555E-2</v>
      </c>
      <c r="F34" s="11">
        <v>8</v>
      </c>
      <c r="G34" s="11">
        <v>2</v>
      </c>
      <c r="H34" s="16">
        <v>0.57699999999999996</v>
      </c>
      <c r="I34" s="16">
        <v>0</v>
      </c>
      <c r="J34" s="16">
        <v>1.2999999999999999E-2</v>
      </c>
      <c r="K34" s="16">
        <v>1E-3</v>
      </c>
      <c r="L34" s="16">
        <v>1E-3</v>
      </c>
      <c r="M34" s="16">
        <v>0</v>
      </c>
      <c r="N34" s="16">
        <v>9.6000000000000002E-2</v>
      </c>
      <c r="O34" s="16">
        <v>0.22500000000000001</v>
      </c>
      <c r="P34" s="16">
        <v>5.5E-2</v>
      </c>
      <c r="R34" s="16">
        <v>0.622</v>
      </c>
      <c r="T34" s="17">
        <v>25</v>
      </c>
      <c r="U34" s="11">
        <v>2</v>
      </c>
      <c r="V34" s="11">
        <v>1</v>
      </c>
      <c r="W34" s="11">
        <v>26</v>
      </c>
      <c r="X34" s="11">
        <v>0</v>
      </c>
      <c r="Y34" s="11">
        <v>1</v>
      </c>
      <c r="AA34" s="11">
        <v>2</v>
      </c>
      <c r="AB34" s="16">
        <v>0.19800000000000001</v>
      </c>
      <c r="AC34" s="16">
        <v>0.80200000000000005</v>
      </c>
      <c r="AD34" s="16">
        <v>0</v>
      </c>
      <c r="AE34" s="16">
        <v>0.45800000000000002</v>
      </c>
      <c r="AF34" s="16">
        <v>0.125</v>
      </c>
      <c r="AG34" s="16">
        <v>0.125</v>
      </c>
      <c r="AH34" s="16">
        <v>0.29199999999999998</v>
      </c>
      <c r="AI34" s="16">
        <v>0</v>
      </c>
      <c r="AJ34" s="16">
        <v>0</v>
      </c>
      <c r="AK34" s="16">
        <v>1</v>
      </c>
      <c r="AL34" s="16">
        <v>0</v>
      </c>
    </row>
    <row r="35" spans="1:38" ht="20.100000000000001" customHeight="1" x14ac:dyDescent="0.15">
      <c r="A35" s="14">
        <v>45972</v>
      </c>
      <c r="B35" s="11" t="s">
        <v>164</v>
      </c>
      <c r="C35" s="17">
        <v>3328</v>
      </c>
      <c r="D35" s="17">
        <v>2656</v>
      </c>
      <c r="E35" s="13">
        <v>2.9166666666666667E-2</v>
      </c>
      <c r="F35" s="11">
        <v>9</v>
      </c>
      <c r="G35" s="11">
        <v>2</v>
      </c>
      <c r="H35" s="16">
        <v>0.55400000000000005</v>
      </c>
      <c r="I35" s="16">
        <v>1E-3</v>
      </c>
      <c r="J35" s="16">
        <v>8.0000000000000002E-3</v>
      </c>
      <c r="K35" s="16">
        <v>0</v>
      </c>
      <c r="L35" s="16">
        <v>0</v>
      </c>
      <c r="M35" s="16">
        <v>0</v>
      </c>
      <c r="N35" s="16">
        <v>0.18099999999999999</v>
      </c>
      <c r="O35" s="16">
        <v>0.18099999999999999</v>
      </c>
      <c r="P35" s="16">
        <v>0.115</v>
      </c>
      <c r="Q35" s="16">
        <v>3.1E-2</v>
      </c>
      <c r="R35" s="16">
        <v>0.46200000000000002</v>
      </c>
      <c r="S35" s="16">
        <v>2.4E-2</v>
      </c>
      <c r="T35" s="17">
        <v>24</v>
      </c>
      <c r="U35" s="11">
        <v>2</v>
      </c>
      <c r="W35" s="11">
        <v>24</v>
      </c>
      <c r="X35" s="11">
        <v>0</v>
      </c>
      <c r="Y35" s="11">
        <v>1</v>
      </c>
      <c r="AA35" s="11">
        <v>1</v>
      </c>
      <c r="AB35" s="16">
        <v>0.183</v>
      </c>
      <c r="AC35" s="16">
        <v>0.81699999999999995</v>
      </c>
      <c r="AD35" s="16">
        <v>0</v>
      </c>
      <c r="AE35" s="16">
        <v>0.33300000000000002</v>
      </c>
      <c r="AF35" s="16">
        <v>0.25600000000000001</v>
      </c>
      <c r="AG35" s="16">
        <v>0.23100000000000001</v>
      </c>
      <c r="AH35" s="16">
        <v>0.128</v>
      </c>
      <c r="AI35" s="16">
        <v>5.0999999999999997E-2</v>
      </c>
      <c r="AJ35" s="16">
        <v>0</v>
      </c>
      <c r="AK35" s="16">
        <v>0.94099999999999995</v>
      </c>
      <c r="AL35" s="16">
        <v>5.8999999999999997E-2</v>
      </c>
    </row>
    <row r="36" spans="1:38" ht="20.100000000000001" customHeight="1" x14ac:dyDescent="0.15">
      <c r="A36" s="14">
        <v>45969</v>
      </c>
      <c r="B36" s="11" t="s">
        <v>145</v>
      </c>
      <c r="C36" s="17">
        <v>20681</v>
      </c>
      <c r="D36" s="17">
        <v>10222</v>
      </c>
      <c r="E36" s="13">
        <v>3.472222222222222E-3</v>
      </c>
      <c r="F36" s="11">
        <v>12</v>
      </c>
      <c r="G36" s="11">
        <v>9</v>
      </c>
      <c r="H36" s="16">
        <v>0.496</v>
      </c>
      <c r="I36" s="16">
        <v>0</v>
      </c>
      <c r="J36" s="16">
        <v>8.0000000000000002E-3</v>
      </c>
      <c r="K36" s="16">
        <v>5.0000000000000001E-3</v>
      </c>
      <c r="L36" s="16">
        <v>0</v>
      </c>
      <c r="M36" s="16">
        <v>0</v>
      </c>
      <c r="N36" s="16">
        <v>0.54200000000000004</v>
      </c>
      <c r="O36" s="16">
        <v>6.4000000000000001E-2</v>
      </c>
      <c r="P36" s="16">
        <v>0.30099999999999999</v>
      </c>
      <c r="R36" s="16">
        <v>8.8999999999999996E-2</v>
      </c>
      <c r="S36" s="16">
        <v>3.0000000000000001E-3</v>
      </c>
      <c r="T36" s="17">
        <v>44</v>
      </c>
      <c r="U36" s="11">
        <v>9</v>
      </c>
      <c r="V36" s="11">
        <v>1</v>
      </c>
      <c r="W36" s="11">
        <v>79</v>
      </c>
      <c r="X36" s="11">
        <v>1</v>
      </c>
      <c r="Y36" s="11">
        <v>2</v>
      </c>
      <c r="AA36" s="11">
        <v>55</v>
      </c>
      <c r="AB36" s="16">
        <v>5.2999999999999999E-2</v>
      </c>
      <c r="AC36" s="16">
        <v>0.94699999999999995</v>
      </c>
      <c r="AD36" s="16">
        <v>0</v>
      </c>
      <c r="AE36" s="16">
        <v>0.71899999999999997</v>
      </c>
      <c r="AF36" s="16">
        <v>0.123</v>
      </c>
      <c r="AG36" s="16">
        <v>3.5000000000000003E-2</v>
      </c>
      <c r="AH36" s="16">
        <v>0.123</v>
      </c>
      <c r="AI36" s="16">
        <v>0</v>
      </c>
      <c r="AJ36" s="16">
        <v>0</v>
      </c>
      <c r="AK36" s="16">
        <v>1</v>
      </c>
      <c r="AL36" s="16">
        <v>0</v>
      </c>
    </row>
    <row r="37" spans="1:38" ht="20.100000000000001" customHeight="1" x14ac:dyDescent="0.15">
      <c r="A37" s="14">
        <v>45967</v>
      </c>
      <c r="B37" s="11" t="s">
        <v>165</v>
      </c>
      <c r="C37" s="17">
        <v>7390</v>
      </c>
      <c r="D37" s="17">
        <v>4078</v>
      </c>
      <c r="E37" s="13">
        <v>2.7777777777777779E-3</v>
      </c>
      <c r="F37" s="11">
        <v>6</v>
      </c>
      <c r="G37" s="11">
        <v>2</v>
      </c>
      <c r="H37" s="16">
        <v>0.50800000000000001</v>
      </c>
      <c r="I37" s="16">
        <v>0</v>
      </c>
      <c r="J37" s="16">
        <v>7.0000000000000001E-3</v>
      </c>
      <c r="K37" s="16">
        <v>2E-3</v>
      </c>
      <c r="L37" s="16">
        <v>1E-3</v>
      </c>
      <c r="M37" s="16">
        <v>1E-3</v>
      </c>
      <c r="N37" s="16">
        <v>0.311</v>
      </c>
      <c r="O37" s="16">
        <v>0.20399999999999999</v>
      </c>
      <c r="P37" s="16">
        <v>0.28699999999999998</v>
      </c>
      <c r="R37" s="16">
        <v>0.19500000000000001</v>
      </c>
      <c r="S37" s="16">
        <v>2E-3</v>
      </c>
      <c r="T37" s="17">
        <v>20</v>
      </c>
      <c r="U37" s="11">
        <v>2</v>
      </c>
      <c r="W37" s="11">
        <v>28</v>
      </c>
      <c r="X37" s="11">
        <v>2</v>
      </c>
      <c r="Y37" s="11">
        <v>2</v>
      </c>
      <c r="AA37" s="11">
        <v>8</v>
      </c>
      <c r="AB37" s="16">
        <v>0.14499999999999999</v>
      </c>
      <c r="AC37" s="16">
        <v>0.85499999999999998</v>
      </c>
      <c r="AD37" s="16">
        <v>0</v>
      </c>
      <c r="AE37" s="16">
        <v>0.63600000000000001</v>
      </c>
      <c r="AF37" s="16">
        <v>0.121</v>
      </c>
      <c r="AG37" s="16">
        <v>6.0999999999999999E-2</v>
      </c>
      <c r="AH37" s="16">
        <v>0.152</v>
      </c>
      <c r="AI37" s="16">
        <v>0</v>
      </c>
      <c r="AJ37" s="16">
        <v>0.03</v>
      </c>
      <c r="AK37" s="16">
        <v>0.9</v>
      </c>
      <c r="AL37" s="16">
        <v>0.1</v>
      </c>
    </row>
    <row r="38" spans="1:38" ht="20.100000000000001" customHeight="1" x14ac:dyDescent="0.15">
      <c r="A38" s="14">
        <v>45966</v>
      </c>
      <c r="B38" s="11" t="s">
        <v>166</v>
      </c>
      <c r="C38" s="17">
        <v>3689</v>
      </c>
      <c r="D38" s="17">
        <v>2835</v>
      </c>
      <c r="E38" s="13">
        <v>4.0972222222222222E-2</v>
      </c>
      <c r="F38" s="11">
        <v>14</v>
      </c>
      <c r="G38" s="11">
        <v>2</v>
      </c>
      <c r="H38" s="16">
        <v>0.44400000000000001</v>
      </c>
      <c r="I38" s="16">
        <v>0</v>
      </c>
      <c r="J38" s="16">
        <v>8.9999999999999993E-3</v>
      </c>
      <c r="K38" s="16">
        <v>2E-3</v>
      </c>
      <c r="L38" s="16">
        <v>0</v>
      </c>
      <c r="M38" s="16">
        <v>0</v>
      </c>
      <c r="N38" s="16">
        <v>0.22500000000000001</v>
      </c>
      <c r="O38" s="16">
        <v>0.25600000000000001</v>
      </c>
      <c r="P38" s="16">
        <v>0.16800000000000001</v>
      </c>
      <c r="Q38" s="16">
        <v>4.3999999999999997E-2</v>
      </c>
      <c r="R38" s="16">
        <v>0.30299999999999999</v>
      </c>
      <c r="S38" s="16">
        <v>1E-3</v>
      </c>
      <c r="T38" s="17">
        <v>34</v>
      </c>
      <c r="U38" s="11">
        <v>2</v>
      </c>
      <c r="W38" s="11">
        <v>28</v>
      </c>
      <c r="X38" s="11">
        <v>0</v>
      </c>
      <c r="Y38" s="11">
        <v>0</v>
      </c>
      <c r="AA38" s="11">
        <v>5</v>
      </c>
      <c r="AB38" s="16">
        <v>0.23699999999999999</v>
      </c>
      <c r="AC38" s="16">
        <v>0.76300000000000001</v>
      </c>
      <c r="AD38" s="16">
        <v>0</v>
      </c>
      <c r="AE38" s="16">
        <v>0.64300000000000002</v>
      </c>
      <c r="AF38" s="16">
        <v>0.107</v>
      </c>
      <c r="AG38" s="16">
        <v>0.107</v>
      </c>
      <c r="AH38" s="16">
        <v>0.14299999999999999</v>
      </c>
      <c r="AI38" s="16">
        <v>0</v>
      </c>
      <c r="AJ38" s="16">
        <v>0</v>
      </c>
      <c r="AK38" s="16">
        <v>1</v>
      </c>
      <c r="AL38" s="16">
        <v>0</v>
      </c>
    </row>
    <row r="39" spans="1:38" ht="20.100000000000001" customHeight="1" x14ac:dyDescent="0.15">
      <c r="A39" s="14">
        <v>45965</v>
      </c>
      <c r="B39" s="11" t="s">
        <v>167</v>
      </c>
      <c r="C39" s="17">
        <v>3750</v>
      </c>
      <c r="D39" s="17">
        <v>3314</v>
      </c>
      <c r="E39" s="13">
        <v>3.9583333333333331E-2</v>
      </c>
      <c r="F39" s="11">
        <v>10</v>
      </c>
      <c r="G39" s="11">
        <v>10</v>
      </c>
      <c r="H39" s="16">
        <v>0.498</v>
      </c>
      <c r="I39" s="16">
        <v>0</v>
      </c>
      <c r="J39" s="16">
        <v>8.9999999999999993E-3</v>
      </c>
      <c r="K39" s="16">
        <v>2E-3</v>
      </c>
      <c r="L39" s="16">
        <v>0</v>
      </c>
      <c r="M39" s="16">
        <v>0</v>
      </c>
      <c r="N39" s="16">
        <v>0.32300000000000001</v>
      </c>
      <c r="O39" s="16">
        <v>0.161</v>
      </c>
      <c r="P39" s="16">
        <v>0.249</v>
      </c>
      <c r="R39" s="16">
        <v>0.26600000000000001</v>
      </c>
      <c r="T39" s="17">
        <v>44</v>
      </c>
      <c r="U39" s="11">
        <v>10</v>
      </c>
      <c r="V39" s="11">
        <v>2</v>
      </c>
      <c r="W39" s="11">
        <v>30</v>
      </c>
      <c r="X39" s="11">
        <v>0</v>
      </c>
      <c r="Y39" s="11">
        <v>1</v>
      </c>
      <c r="AA39" s="11">
        <v>7</v>
      </c>
      <c r="AB39" s="16">
        <v>0.14099999999999999</v>
      </c>
      <c r="AC39" s="16">
        <v>0.85899999999999999</v>
      </c>
      <c r="AD39" s="16">
        <v>0</v>
      </c>
      <c r="AE39" s="16">
        <v>0.45800000000000002</v>
      </c>
      <c r="AF39" s="16">
        <v>0.125</v>
      </c>
      <c r="AG39" s="16">
        <v>0.25</v>
      </c>
      <c r="AH39" s="16">
        <v>0.16700000000000001</v>
      </c>
      <c r="AI39" s="16">
        <v>0</v>
      </c>
      <c r="AJ39" s="16">
        <v>0</v>
      </c>
      <c r="AK39" s="16">
        <v>1</v>
      </c>
      <c r="AL39" s="16">
        <v>0</v>
      </c>
    </row>
    <row r="40" spans="1:38" ht="20.100000000000001" customHeight="1" x14ac:dyDescent="0.15">
      <c r="A40" s="14">
        <v>45959</v>
      </c>
      <c r="B40" s="11" t="s">
        <v>168</v>
      </c>
      <c r="C40" s="17">
        <v>2346</v>
      </c>
      <c r="D40" s="17">
        <v>1969</v>
      </c>
      <c r="E40" s="13">
        <v>4.3055555555555555E-2</v>
      </c>
      <c r="F40" s="11">
        <v>8</v>
      </c>
      <c r="G40" s="11">
        <v>2</v>
      </c>
      <c r="H40" s="16">
        <v>0.57299999999999995</v>
      </c>
      <c r="I40" s="16">
        <v>0</v>
      </c>
      <c r="J40" s="16">
        <v>0.01</v>
      </c>
      <c r="K40" s="16">
        <v>0</v>
      </c>
      <c r="L40" s="16">
        <v>0</v>
      </c>
      <c r="M40" s="16">
        <v>0</v>
      </c>
      <c r="N40" s="16">
        <v>0.17699999999999999</v>
      </c>
      <c r="O40" s="16">
        <v>0.254</v>
      </c>
      <c r="P40" s="16">
        <v>0.13500000000000001</v>
      </c>
      <c r="R40" s="16">
        <v>0.434</v>
      </c>
      <c r="T40" s="17">
        <v>35</v>
      </c>
      <c r="U40" s="11">
        <v>2</v>
      </c>
      <c r="V40" s="11">
        <v>1</v>
      </c>
      <c r="W40" s="11">
        <v>20</v>
      </c>
      <c r="X40" s="11">
        <v>0</v>
      </c>
      <c r="Y40" s="11">
        <v>1</v>
      </c>
      <c r="AA40" s="11">
        <v>1</v>
      </c>
      <c r="AB40" s="16">
        <v>0.22</v>
      </c>
      <c r="AC40" s="16">
        <v>0.78</v>
      </c>
      <c r="AD40" s="16">
        <v>0</v>
      </c>
      <c r="AE40" s="16">
        <v>0.48399999999999999</v>
      </c>
      <c r="AF40" s="16">
        <v>0.161</v>
      </c>
      <c r="AG40" s="16">
        <v>0.28999999999999998</v>
      </c>
      <c r="AH40" s="16">
        <v>6.5000000000000002E-2</v>
      </c>
      <c r="AI40" s="16">
        <v>0</v>
      </c>
      <c r="AJ40" s="16">
        <v>0</v>
      </c>
      <c r="AK40" s="16">
        <v>1</v>
      </c>
      <c r="AL40" s="16">
        <v>0</v>
      </c>
    </row>
    <row r="41" spans="1:38" ht="20.100000000000001" customHeight="1" x14ac:dyDescent="0.15">
      <c r="A41" s="14">
        <v>45955</v>
      </c>
      <c r="B41" s="11" t="s">
        <v>169</v>
      </c>
      <c r="C41" s="17">
        <v>7600</v>
      </c>
      <c r="D41" s="17">
        <v>6442</v>
      </c>
      <c r="E41" s="13">
        <v>3.6111111111111108E-2</v>
      </c>
      <c r="F41" s="11">
        <v>14</v>
      </c>
      <c r="G41" s="11">
        <v>0</v>
      </c>
      <c r="H41" s="16">
        <v>0.36199999999999999</v>
      </c>
      <c r="I41" s="16">
        <v>0</v>
      </c>
      <c r="J41" s="16">
        <v>6.0000000000000001E-3</v>
      </c>
      <c r="K41" s="16">
        <v>1E-3</v>
      </c>
      <c r="L41" s="16">
        <v>0</v>
      </c>
      <c r="M41" s="16">
        <v>0</v>
      </c>
      <c r="N41" s="16">
        <v>0.36099999999999999</v>
      </c>
      <c r="O41" s="16">
        <v>0.13300000000000001</v>
      </c>
      <c r="P41" s="16">
        <v>0.36099999999999999</v>
      </c>
      <c r="R41" s="16">
        <v>0.14199999999999999</v>
      </c>
      <c r="S41" s="16">
        <v>1E-3</v>
      </c>
      <c r="T41" s="17">
        <v>67</v>
      </c>
      <c r="U41" s="11">
        <v>0</v>
      </c>
      <c r="W41" s="11">
        <v>42</v>
      </c>
      <c r="X41" s="11">
        <v>1</v>
      </c>
      <c r="Y41" s="11">
        <v>2</v>
      </c>
      <c r="AA41" s="11">
        <v>9</v>
      </c>
      <c r="AB41" s="16">
        <v>9.9000000000000005E-2</v>
      </c>
      <c r="AC41" s="16">
        <v>0.90100000000000002</v>
      </c>
      <c r="AD41" s="16">
        <v>0</v>
      </c>
      <c r="AE41" s="16">
        <v>0.375</v>
      </c>
      <c r="AF41" s="16">
        <v>0.16700000000000001</v>
      </c>
      <c r="AG41" s="16">
        <v>0.20799999999999999</v>
      </c>
      <c r="AH41" s="16">
        <v>0.25</v>
      </c>
      <c r="AI41" s="16">
        <v>0</v>
      </c>
      <c r="AJ41" s="16">
        <v>0</v>
      </c>
      <c r="AK41" s="16">
        <v>1</v>
      </c>
      <c r="AL41" s="16">
        <v>0</v>
      </c>
    </row>
    <row r="42" spans="1:38" ht="20.100000000000001" customHeight="1" x14ac:dyDescent="0.15">
      <c r="A42" s="14">
        <v>45954</v>
      </c>
      <c r="B42" s="11" t="s">
        <v>170</v>
      </c>
      <c r="C42" s="17">
        <v>2141</v>
      </c>
      <c r="D42" s="17">
        <v>1860</v>
      </c>
      <c r="E42" s="13">
        <v>2.5000000000000001E-2</v>
      </c>
      <c r="F42" s="11">
        <v>8</v>
      </c>
      <c r="G42" s="11">
        <v>4</v>
      </c>
      <c r="H42" s="16">
        <v>0.58499999999999996</v>
      </c>
      <c r="I42" s="16">
        <v>0</v>
      </c>
      <c r="J42" s="16">
        <v>0.01</v>
      </c>
      <c r="K42" s="16">
        <v>1E-3</v>
      </c>
      <c r="L42" s="16">
        <v>1E-3</v>
      </c>
      <c r="M42" s="16">
        <v>1E-3</v>
      </c>
      <c r="N42" s="16">
        <v>0.185</v>
      </c>
      <c r="O42" s="16">
        <v>0.219</v>
      </c>
      <c r="P42" s="16">
        <v>0.13400000000000001</v>
      </c>
      <c r="R42" s="16">
        <v>0.46</v>
      </c>
      <c r="T42" s="17">
        <v>11</v>
      </c>
      <c r="U42" s="11">
        <v>4</v>
      </c>
      <c r="V42" s="11">
        <v>1</v>
      </c>
      <c r="W42" s="11">
        <v>18</v>
      </c>
      <c r="X42" s="11">
        <v>1</v>
      </c>
      <c r="Y42" s="11">
        <v>1</v>
      </c>
      <c r="AA42" s="11">
        <v>2</v>
      </c>
      <c r="AB42" s="16">
        <v>0.19900000000000001</v>
      </c>
      <c r="AC42" s="16">
        <v>0.80100000000000005</v>
      </c>
      <c r="AD42" s="16">
        <v>0</v>
      </c>
      <c r="AE42" s="16">
        <v>0.44400000000000001</v>
      </c>
      <c r="AF42" s="16">
        <v>0.222</v>
      </c>
      <c r="AG42" s="16">
        <v>0.16700000000000001</v>
      </c>
      <c r="AH42" s="16">
        <v>0.16700000000000001</v>
      </c>
      <c r="AI42" s="16">
        <v>0</v>
      </c>
      <c r="AJ42" s="16">
        <v>0</v>
      </c>
      <c r="AK42" s="16">
        <v>1</v>
      </c>
      <c r="AL42" s="16">
        <v>0</v>
      </c>
    </row>
    <row r="43" spans="1:38" ht="20.100000000000001" customHeight="1" x14ac:dyDescent="0.15">
      <c r="A43" s="14">
        <v>45954</v>
      </c>
      <c r="B43" s="11" t="s">
        <v>171</v>
      </c>
      <c r="C43" s="17">
        <v>2181</v>
      </c>
      <c r="D43" s="17">
        <v>1815</v>
      </c>
      <c r="E43" s="13">
        <v>3.4722222222222224E-2</v>
      </c>
      <c r="F43" s="11">
        <v>10</v>
      </c>
      <c r="G43" s="11">
        <v>1</v>
      </c>
      <c r="H43" s="16">
        <v>0.54400000000000004</v>
      </c>
      <c r="I43" s="16">
        <v>0</v>
      </c>
      <c r="J43" s="16">
        <v>1.2E-2</v>
      </c>
      <c r="K43" s="16">
        <v>1E-3</v>
      </c>
      <c r="L43" s="16">
        <v>1E-3</v>
      </c>
      <c r="M43" s="16">
        <v>0</v>
      </c>
      <c r="N43" s="16">
        <v>0.21199999999999999</v>
      </c>
      <c r="O43" s="16">
        <v>0.20699999999999999</v>
      </c>
      <c r="P43" s="16">
        <v>0.17899999999999999</v>
      </c>
      <c r="R43" s="16">
        <v>0.39900000000000002</v>
      </c>
      <c r="T43" s="17">
        <v>21</v>
      </c>
      <c r="U43" s="11">
        <v>1</v>
      </c>
      <c r="W43" s="11">
        <v>21</v>
      </c>
      <c r="X43" s="11">
        <v>0</v>
      </c>
      <c r="Y43" s="11">
        <v>1</v>
      </c>
      <c r="AA43" s="11">
        <v>2</v>
      </c>
      <c r="AB43" s="16">
        <v>0.17499999999999999</v>
      </c>
      <c r="AC43" s="16">
        <v>0.82499999999999996</v>
      </c>
      <c r="AD43" s="16">
        <v>0</v>
      </c>
      <c r="AE43" s="16">
        <v>0.48099999999999998</v>
      </c>
      <c r="AF43" s="16">
        <v>0.14799999999999999</v>
      </c>
      <c r="AG43" s="16">
        <v>0.25900000000000001</v>
      </c>
      <c r="AH43" s="16">
        <v>0.111</v>
      </c>
      <c r="AI43" s="16">
        <v>0</v>
      </c>
      <c r="AJ43" s="16">
        <v>0</v>
      </c>
      <c r="AK43" s="16">
        <v>1</v>
      </c>
      <c r="AL43" s="16">
        <v>0</v>
      </c>
    </row>
    <row r="44" spans="1:38" ht="20.100000000000001" customHeight="1" x14ac:dyDescent="0.15">
      <c r="A44" s="14">
        <v>45952</v>
      </c>
      <c r="B44" s="11" t="s">
        <v>172</v>
      </c>
      <c r="C44" s="17">
        <v>32396</v>
      </c>
      <c r="D44" s="17">
        <v>26902</v>
      </c>
      <c r="E44" s="13">
        <v>4.3055555555555555E-2</v>
      </c>
      <c r="F44" s="11">
        <v>23</v>
      </c>
      <c r="G44" s="11">
        <v>37</v>
      </c>
      <c r="H44" s="16">
        <v>0.318</v>
      </c>
      <c r="I44" s="16">
        <v>0</v>
      </c>
      <c r="J44" s="16">
        <v>4.0000000000000001E-3</v>
      </c>
      <c r="K44" s="16">
        <v>0</v>
      </c>
      <c r="L44" s="16">
        <v>0</v>
      </c>
      <c r="M44" s="16">
        <v>0</v>
      </c>
      <c r="N44" s="16">
        <v>0.47099999999999997</v>
      </c>
      <c r="O44" s="16">
        <v>3.1E-2</v>
      </c>
      <c r="P44" s="16">
        <v>0.47099999999999997</v>
      </c>
      <c r="R44" s="16">
        <v>2.5999999999999999E-2</v>
      </c>
      <c r="T44" s="17">
        <v>1808</v>
      </c>
      <c r="U44" s="11">
        <v>37</v>
      </c>
      <c r="V44" s="11">
        <v>12</v>
      </c>
      <c r="W44" s="11">
        <v>111</v>
      </c>
      <c r="X44" s="11">
        <v>2</v>
      </c>
      <c r="Y44" s="11">
        <v>5</v>
      </c>
      <c r="AA44" s="11">
        <v>10</v>
      </c>
      <c r="AB44" s="16">
        <v>0.02</v>
      </c>
      <c r="AC44" s="16">
        <v>0.98</v>
      </c>
      <c r="AD44" s="16">
        <v>0</v>
      </c>
      <c r="AE44" s="16">
        <v>0.63600000000000001</v>
      </c>
      <c r="AF44" s="16">
        <v>0.182</v>
      </c>
      <c r="AG44" s="16">
        <v>0.13600000000000001</v>
      </c>
      <c r="AH44" s="16">
        <v>4.4999999999999998E-2</v>
      </c>
      <c r="AI44" s="16">
        <v>0</v>
      </c>
      <c r="AJ44" s="16">
        <v>0</v>
      </c>
      <c r="AK44" s="16">
        <v>1</v>
      </c>
      <c r="AL44" s="16">
        <v>0</v>
      </c>
    </row>
    <row r="45" spans="1:38" ht="20.100000000000001" customHeight="1" x14ac:dyDescent="0.15">
      <c r="A45" s="14">
        <v>45938</v>
      </c>
      <c r="B45" s="11" t="s">
        <v>173</v>
      </c>
      <c r="C45" s="17">
        <v>2915</v>
      </c>
      <c r="D45" s="17">
        <v>1840</v>
      </c>
      <c r="E45" s="13">
        <v>2.0833333333333333E-3</v>
      </c>
      <c r="F45" s="11">
        <v>3</v>
      </c>
      <c r="G45" s="11">
        <v>0</v>
      </c>
      <c r="H45" s="16">
        <v>0.67200000000000004</v>
      </c>
      <c r="I45" s="16">
        <v>0</v>
      </c>
      <c r="J45" s="16">
        <v>6.0000000000000001E-3</v>
      </c>
      <c r="K45" s="16">
        <v>1E-3</v>
      </c>
      <c r="L45" s="16">
        <v>1E-3</v>
      </c>
      <c r="M45" s="16">
        <v>0</v>
      </c>
      <c r="N45" s="16">
        <v>0.17</v>
      </c>
      <c r="O45" s="16">
        <v>0.154</v>
      </c>
      <c r="P45" s="16">
        <v>0.17100000000000001</v>
      </c>
      <c r="R45" s="16">
        <v>0.503</v>
      </c>
      <c r="T45" s="17">
        <v>9</v>
      </c>
      <c r="U45" s="11">
        <v>0</v>
      </c>
      <c r="W45" s="11">
        <v>11</v>
      </c>
      <c r="X45" s="11">
        <v>0</v>
      </c>
      <c r="Y45" s="11">
        <v>2</v>
      </c>
      <c r="AA45" s="11">
        <v>2</v>
      </c>
      <c r="AB45" s="16">
        <v>0.17699999999999999</v>
      </c>
      <c r="AC45" s="16">
        <v>0.82299999999999995</v>
      </c>
      <c r="AD45" s="16">
        <v>0</v>
      </c>
      <c r="AE45" s="16">
        <v>0.64100000000000001</v>
      </c>
      <c r="AF45" s="16">
        <v>5.0999999999999997E-2</v>
      </c>
      <c r="AG45" s="16">
        <v>0.20499999999999999</v>
      </c>
      <c r="AH45" s="16">
        <v>7.6999999999999999E-2</v>
      </c>
      <c r="AI45" s="16">
        <v>2.5999999999999999E-2</v>
      </c>
      <c r="AJ45" s="16">
        <v>0</v>
      </c>
      <c r="AK45" s="16">
        <v>1</v>
      </c>
      <c r="AL45" s="16">
        <v>0</v>
      </c>
    </row>
    <row r="46" spans="1:38" ht="20.100000000000001" customHeight="1" x14ac:dyDescent="0.15">
      <c r="A46" s="14">
        <v>45934</v>
      </c>
      <c r="B46" s="11" t="s">
        <v>174</v>
      </c>
      <c r="C46" s="17">
        <v>24366</v>
      </c>
      <c r="D46" s="17">
        <v>12959</v>
      </c>
      <c r="E46" s="13">
        <v>3.472222222222222E-3</v>
      </c>
      <c r="F46" s="11">
        <v>7</v>
      </c>
      <c r="G46" s="11">
        <v>6</v>
      </c>
      <c r="H46" s="16">
        <v>0.39700000000000002</v>
      </c>
      <c r="I46" s="16">
        <v>0</v>
      </c>
      <c r="J46" s="16">
        <v>1E-3</v>
      </c>
      <c r="K46" s="16">
        <v>1E-3</v>
      </c>
      <c r="L46" s="16">
        <v>1E-3</v>
      </c>
      <c r="M46" s="16">
        <v>0</v>
      </c>
      <c r="N46" s="16">
        <v>0.42599999999999999</v>
      </c>
      <c r="O46" s="16">
        <v>6.2E-2</v>
      </c>
      <c r="P46" s="16">
        <v>0.441</v>
      </c>
      <c r="Q46" s="16">
        <v>4.0000000000000001E-3</v>
      </c>
      <c r="R46" s="16">
        <v>6.5000000000000002E-2</v>
      </c>
      <c r="S46" s="16">
        <v>1E-3</v>
      </c>
      <c r="U46" s="11">
        <v>6</v>
      </c>
      <c r="W46" s="11">
        <v>72</v>
      </c>
      <c r="X46" s="11">
        <v>0</v>
      </c>
      <c r="Y46" s="11">
        <v>1</v>
      </c>
      <c r="AA46" s="11">
        <v>33</v>
      </c>
      <c r="AB46" s="16">
        <v>3.9E-2</v>
      </c>
      <c r="AC46" s="16">
        <v>0.96099999999999997</v>
      </c>
      <c r="AD46" s="16">
        <v>0</v>
      </c>
      <c r="AE46" s="16">
        <v>0.68799999999999994</v>
      </c>
      <c r="AF46" s="16">
        <v>4.2000000000000003E-2</v>
      </c>
      <c r="AG46" s="16">
        <v>0.16700000000000001</v>
      </c>
      <c r="AH46" s="16">
        <v>4.2000000000000003E-2</v>
      </c>
      <c r="AI46" s="16">
        <v>6.3E-2</v>
      </c>
      <c r="AJ46" s="16">
        <v>0</v>
      </c>
      <c r="AK46" s="16">
        <v>1</v>
      </c>
      <c r="AL46" s="16">
        <v>0</v>
      </c>
    </row>
    <row r="47" spans="1:38" ht="20.100000000000001" customHeight="1" x14ac:dyDescent="0.15">
      <c r="A47" s="14">
        <v>45931</v>
      </c>
      <c r="B47" s="11" t="s">
        <v>175</v>
      </c>
      <c r="C47" s="17">
        <v>8062</v>
      </c>
      <c r="D47" s="17">
        <v>4551</v>
      </c>
      <c r="E47" s="13">
        <v>3.472222222222222E-3</v>
      </c>
      <c r="F47" s="11">
        <v>6</v>
      </c>
      <c r="G47" s="11">
        <v>5</v>
      </c>
      <c r="H47" s="16">
        <v>0.49</v>
      </c>
      <c r="I47" s="16">
        <v>0</v>
      </c>
      <c r="J47" s="16">
        <v>1E-3</v>
      </c>
      <c r="K47" s="16">
        <v>1E-3</v>
      </c>
      <c r="L47" s="16">
        <v>1E-3</v>
      </c>
      <c r="M47" s="16">
        <v>0</v>
      </c>
      <c r="N47" s="16">
        <v>0.377</v>
      </c>
      <c r="O47" s="16">
        <v>0.105</v>
      </c>
      <c r="P47" s="16">
        <v>0.34699999999999998</v>
      </c>
      <c r="R47" s="16">
        <v>0.16700000000000001</v>
      </c>
      <c r="S47" s="16">
        <v>3.0000000000000001E-3</v>
      </c>
      <c r="U47" s="11">
        <v>5</v>
      </c>
      <c r="W47" s="11">
        <v>60</v>
      </c>
      <c r="X47" s="11">
        <v>0</v>
      </c>
      <c r="Y47" s="11">
        <v>3</v>
      </c>
      <c r="AA47" s="11">
        <v>27</v>
      </c>
      <c r="AB47" s="16">
        <v>0.09</v>
      </c>
      <c r="AC47" s="16">
        <v>0.91</v>
      </c>
      <c r="AD47" s="16">
        <v>6.7000000000000004E-2</v>
      </c>
      <c r="AE47" s="16">
        <v>0.53300000000000003</v>
      </c>
      <c r="AF47" s="16">
        <v>0.156</v>
      </c>
      <c r="AG47" s="16">
        <v>8.8999999999999996E-2</v>
      </c>
      <c r="AH47" s="16">
        <v>0.13300000000000001</v>
      </c>
      <c r="AI47" s="16">
        <v>2.1999999999999999E-2</v>
      </c>
      <c r="AJ47" s="16">
        <v>0</v>
      </c>
      <c r="AK47" s="16">
        <v>1</v>
      </c>
      <c r="AL47" s="16">
        <v>0</v>
      </c>
    </row>
    <row r="48" spans="1:38" ht="20.100000000000001" customHeight="1" x14ac:dyDescent="0.15">
      <c r="A48" s="14">
        <v>45929</v>
      </c>
      <c r="B48" s="11" t="s">
        <v>176</v>
      </c>
      <c r="C48" s="17">
        <v>3236</v>
      </c>
      <c r="D48" s="17">
        <v>1659</v>
      </c>
      <c r="E48" s="13">
        <v>2.0833333333333333E-3</v>
      </c>
      <c r="F48" s="11">
        <v>6</v>
      </c>
      <c r="G48" s="11">
        <v>2</v>
      </c>
      <c r="H48" s="16">
        <v>0.63900000000000001</v>
      </c>
      <c r="I48" s="16">
        <v>0</v>
      </c>
      <c r="J48" s="16">
        <v>1E-3</v>
      </c>
      <c r="K48" s="16">
        <v>1E-3</v>
      </c>
      <c r="L48" s="16">
        <v>1E-3</v>
      </c>
      <c r="M48" s="16">
        <v>0</v>
      </c>
      <c r="N48" s="16">
        <v>0.20799999999999999</v>
      </c>
      <c r="O48" s="16">
        <v>0.21199999999999999</v>
      </c>
      <c r="P48" s="16">
        <v>0.18</v>
      </c>
      <c r="R48" s="16">
        <v>0.39400000000000002</v>
      </c>
      <c r="S48" s="16">
        <v>6.0000000000000001E-3</v>
      </c>
      <c r="U48" s="11">
        <v>2</v>
      </c>
      <c r="W48" s="11">
        <v>16</v>
      </c>
      <c r="X48" s="11">
        <v>0</v>
      </c>
      <c r="Y48" s="11">
        <v>1</v>
      </c>
      <c r="AA48" s="11">
        <v>7</v>
      </c>
      <c r="AB48" s="16">
        <v>0.216</v>
      </c>
      <c r="AC48" s="16">
        <v>0.78400000000000003</v>
      </c>
      <c r="AD48" s="16">
        <v>0</v>
      </c>
      <c r="AE48" s="16">
        <v>0.71399999999999997</v>
      </c>
      <c r="AF48" s="16">
        <v>3.5999999999999997E-2</v>
      </c>
      <c r="AG48" s="16">
        <v>0.14299999999999999</v>
      </c>
      <c r="AH48" s="16">
        <v>7.0999999999999994E-2</v>
      </c>
      <c r="AI48" s="16">
        <v>3.5999999999999997E-2</v>
      </c>
      <c r="AJ48" s="16">
        <v>0</v>
      </c>
      <c r="AK48" s="16">
        <v>1</v>
      </c>
      <c r="AL48" s="16">
        <v>0</v>
      </c>
    </row>
    <row r="49" spans="1:38" ht="20.100000000000001" customHeight="1" x14ac:dyDescent="0.15">
      <c r="A49" s="14">
        <v>45927</v>
      </c>
      <c r="B49" s="11" t="s">
        <v>177</v>
      </c>
      <c r="C49" s="17">
        <v>2880</v>
      </c>
      <c r="D49" s="17">
        <v>1972</v>
      </c>
      <c r="E49" s="13">
        <v>3.472222222222222E-3</v>
      </c>
      <c r="F49" s="11">
        <v>4</v>
      </c>
      <c r="G49" s="11">
        <v>2</v>
      </c>
      <c r="H49" s="16">
        <v>0.65100000000000002</v>
      </c>
      <c r="I49" s="16">
        <v>0</v>
      </c>
      <c r="J49" s="16">
        <v>1E-3</v>
      </c>
      <c r="K49" s="16">
        <v>1E-3</v>
      </c>
      <c r="L49" s="16">
        <v>1E-3</v>
      </c>
      <c r="M49" s="16">
        <v>0</v>
      </c>
      <c r="N49" s="16">
        <v>0.29599999999999999</v>
      </c>
      <c r="O49" s="16">
        <v>0.125</v>
      </c>
      <c r="P49" s="16">
        <v>0.24099999999999999</v>
      </c>
      <c r="R49" s="16">
        <v>0.33400000000000002</v>
      </c>
      <c r="S49" s="16">
        <v>2E-3</v>
      </c>
      <c r="U49" s="11">
        <v>2</v>
      </c>
      <c r="W49" s="11">
        <v>16</v>
      </c>
      <c r="X49" s="11">
        <v>0</v>
      </c>
      <c r="Y49" s="11">
        <v>1</v>
      </c>
      <c r="AA49" s="11">
        <v>3</v>
      </c>
      <c r="AB49" s="16">
        <v>0.14699999999999999</v>
      </c>
      <c r="AC49" s="16">
        <v>0.85299999999999998</v>
      </c>
      <c r="AD49" s="16">
        <v>0</v>
      </c>
      <c r="AE49" s="16">
        <v>0.81299999999999994</v>
      </c>
      <c r="AF49" s="16">
        <v>6.3E-2</v>
      </c>
      <c r="AG49" s="16">
        <v>0.125</v>
      </c>
      <c r="AH49" s="16">
        <v>0</v>
      </c>
      <c r="AI49" s="16">
        <v>0</v>
      </c>
      <c r="AJ49" s="16">
        <v>0</v>
      </c>
      <c r="AK49" s="16">
        <v>1</v>
      </c>
      <c r="AL49" s="16">
        <v>0</v>
      </c>
    </row>
    <row r="50" spans="1:38" ht="20.100000000000001" customHeight="1" x14ac:dyDescent="0.15">
      <c r="A50" s="14">
        <v>45927</v>
      </c>
      <c r="B50" s="11" t="s">
        <v>178</v>
      </c>
      <c r="C50" s="17">
        <v>5810</v>
      </c>
      <c r="D50" s="17">
        <v>3167</v>
      </c>
      <c r="E50" s="13">
        <v>2.7777777777777779E-3</v>
      </c>
      <c r="F50" s="11">
        <v>5</v>
      </c>
      <c r="G50" s="11">
        <v>1</v>
      </c>
      <c r="H50" s="16">
        <v>0.61499999999999999</v>
      </c>
      <c r="I50" s="16">
        <v>0</v>
      </c>
      <c r="J50" s="16">
        <v>1E-3</v>
      </c>
      <c r="K50" s="16">
        <v>1E-3</v>
      </c>
      <c r="L50" s="16">
        <v>1E-3</v>
      </c>
      <c r="M50" s="16">
        <v>0</v>
      </c>
      <c r="N50" s="16">
        <v>0.32700000000000001</v>
      </c>
      <c r="O50" s="16">
        <v>0.122</v>
      </c>
      <c r="P50" s="16">
        <v>0.33900000000000002</v>
      </c>
      <c r="R50" s="16" t="s">
        <v>179</v>
      </c>
      <c r="S50" s="16">
        <v>3.0000000000000001E-3</v>
      </c>
      <c r="U50" s="11">
        <v>1</v>
      </c>
      <c r="W50" s="11">
        <v>24</v>
      </c>
      <c r="X50" s="11">
        <v>0</v>
      </c>
      <c r="Y50" s="11">
        <v>1</v>
      </c>
      <c r="AA50" s="11">
        <v>5</v>
      </c>
      <c r="AB50" s="16">
        <v>0.11600000000000001</v>
      </c>
      <c r="AC50" s="16">
        <v>0.88400000000000001</v>
      </c>
      <c r="AD50" s="16">
        <v>0</v>
      </c>
      <c r="AE50" s="16">
        <v>0.85699999999999998</v>
      </c>
      <c r="AF50" s="16">
        <v>4.8000000000000001E-2</v>
      </c>
      <c r="AG50" s="16">
        <v>9.5000000000000001E-2</v>
      </c>
      <c r="AH50" s="16">
        <v>0</v>
      </c>
      <c r="AI50" s="16">
        <v>0</v>
      </c>
      <c r="AJ50" s="16">
        <v>0</v>
      </c>
      <c r="AK50" s="16">
        <v>1</v>
      </c>
      <c r="AL50" s="16">
        <v>0</v>
      </c>
    </row>
    <row r="51" spans="1:38" ht="20.100000000000001" customHeight="1" x14ac:dyDescent="0.15">
      <c r="A51" s="14">
        <v>45927</v>
      </c>
      <c r="B51" s="11" t="s">
        <v>180</v>
      </c>
      <c r="C51" s="17">
        <v>7124</v>
      </c>
      <c r="D51" s="17">
        <v>4924</v>
      </c>
      <c r="E51" s="13">
        <v>3.472222222222222E-3</v>
      </c>
      <c r="F51" s="11">
        <v>4</v>
      </c>
      <c r="G51" s="11">
        <v>3</v>
      </c>
      <c r="H51" s="16">
        <v>0.61</v>
      </c>
      <c r="I51" s="16">
        <v>0</v>
      </c>
      <c r="J51" s="16">
        <v>1E-3</v>
      </c>
      <c r="K51" s="16">
        <v>1E-3</v>
      </c>
      <c r="L51" s="16">
        <v>1E-3</v>
      </c>
      <c r="M51" s="16">
        <v>0</v>
      </c>
      <c r="N51" s="16">
        <v>0.42699999999999999</v>
      </c>
      <c r="O51" s="16">
        <v>5.8000000000000003E-2</v>
      </c>
      <c r="P51" s="16">
        <v>0.40300000000000002</v>
      </c>
      <c r="R51" s="16">
        <v>0.112</v>
      </c>
      <c r="U51" s="11">
        <v>3</v>
      </c>
      <c r="W51" s="11">
        <v>31</v>
      </c>
      <c r="X51" s="11">
        <v>0</v>
      </c>
      <c r="Y51" s="11">
        <v>1</v>
      </c>
      <c r="AA51" s="11">
        <v>8</v>
      </c>
      <c r="AB51" s="16">
        <v>0.06</v>
      </c>
      <c r="AC51" s="16">
        <v>0.94</v>
      </c>
      <c r="AD51" s="16">
        <v>0</v>
      </c>
      <c r="AE51" s="16">
        <v>0.82399999999999995</v>
      </c>
      <c r="AF51" s="16">
        <v>5.8999999999999997E-2</v>
      </c>
      <c r="AG51" s="16">
        <v>0.11799999999999999</v>
      </c>
      <c r="AH51" s="16">
        <v>0</v>
      </c>
      <c r="AI51" s="16">
        <v>0</v>
      </c>
      <c r="AJ51" s="16">
        <v>0</v>
      </c>
      <c r="AK51" s="16">
        <v>1</v>
      </c>
      <c r="AL51" s="16">
        <v>0</v>
      </c>
    </row>
    <row r="52" spans="1:38" ht="20.100000000000001" customHeight="1" x14ac:dyDescent="0.15">
      <c r="A52" s="14">
        <v>45925</v>
      </c>
      <c r="B52" s="11" t="s">
        <v>181</v>
      </c>
      <c r="C52" s="17">
        <v>64097</v>
      </c>
      <c r="D52" s="17">
        <v>31592</v>
      </c>
      <c r="E52" s="13">
        <v>4.1666666666666666E-3</v>
      </c>
      <c r="F52" s="11">
        <v>9</v>
      </c>
      <c r="G52" s="11">
        <v>18</v>
      </c>
      <c r="H52" s="16">
        <v>0.41399999999999998</v>
      </c>
      <c r="I52" s="16">
        <v>0</v>
      </c>
      <c r="J52" s="16">
        <v>1E-3</v>
      </c>
      <c r="K52" s="16">
        <v>1E-3</v>
      </c>
      <c r="L52" s="16">
        <v>1E-3</v>
      </c>
      <c r="M52" s="16">
        <v>1E-3</v>
      </c>
      <c r="N52" s="16">
        <v>0.52400000000000002</v>
      </c>
      <c r="O52" s="16">
        <v>0.05</v>
      </c>
      <c r="P52" s="16">
        <v>0.41</v>
      </c>
      <c r="R52" s="16">
        <v>1.6E-2</v>
      </c>
      <c r="U52" s="11">
        <v>18</v>
      </c>
      <c r="W52" s="11">
        <v>114</v>
      </c>
      <c r="X52" s="11">
        <v>2</v>
      </c>
      <c r="Y52" s="11">
        <v>3</v>
      </c>
      <c r="AA52" s="11">
        <v>57</v>
      </c>
      <c r="AB52" s="16">
        <v>1.4999999999999999E-2</v>
      </c>
      <c r="AC52" s="16">
        <v>0.98499999999999999</v>
      </c>
      <c r="AD52" s="16">
        <v>5.7000000000000002E-2</v>
      </c>
      <c r="AE52" s="16">
        <v>0.77100000000000002</v>
      </c>
      <c r="AF52" s="16">
        <v>8.5999999999999993E-2</v>
      </c>
      <c r="AG52" s="16">
        <v>5.7000000000000002E-2</v>
      </c>
      <c r="AH52" s="16">
        <v>2.9000000000000001E-2</v>
      </c>
      <c r="AI52" s="16">
        <v>0</v>
      </c>
      <c r="AJ52" s="16">
        <v>0</v>
      </c>
      <c r="AK52" s="16">
        <v>1</v>
      </c>
      <c r="AL52" s="16">
        <v>0</v>
      </c>
    </row>
    <row r="53" spans="1:38" ht="20.100000000000001" customHeight="1" x14ac:dyDescent="0.15">
      <c r="A53" s="14">
        <v>45923</v>
      </c>
      <c r="B53" s="11" t="s">
        <v>182</v>
      </c>
      <c r="C53" s="17">
        <v>2211461</v>
      </c>
      <c r="D53" s="17">
        <v>989833</v>
      </c>
      <c r="E53" s="13">
        <v>3.472222222222222E-3</v>
      </c>
      <c r="F53" s="11">
        <v>10</v>
      </c>
      <c r="G53" s="11">
        <v>466</v>
      </c>
      <c r="H53" s="16">
        <v>0.36899999999999999</v>
      </c>
      <c r="I53" s="16">
        <v>0</v>
      </c>
      <c r="J53" s="16">
        <v>1E-3</v>
      </c>
      <c r="K53" s="16">
        <v>1E-3</v>
      </c>
      <c r="L53" s="16">
        <v>1E-3</v>
      </c>
      <c r="M53" s="16">
        <v>1E-3</v>
      </c>
      <c r="N53" s="16">
        <v>0.378</v>
      </c>
      <c r="O53" s="16">
        <v>0.38800000000000001</v>
      </c>
      <c r="P53" s="16">
        <v>0.23</v>
      </c>
      <c r="R53" s="16">
        <v>3.0000000000000001E-3</v>
      </c>
      <c r="U53" s="11">
        <v>466</v>
      </c>
      <c r="W53" s="11">
        <v>1316</v>
      </c>
      <c r="X53" s="11">
        <v>3</v>
      </c>
      <c r="Y53" s="11">
        <v>92</v>
      </c>
      <c r="AA53" s="11">
        <v>684</v>
      </c>
      <c r="AB53" s="16">
        <v>1E-3</v>
      </c>
      <c r="AC53" s="16">
        <v>0.999</v>
      </c>
      <c r="AD53" s="16">
        <v>3.3000000000000002E-2</v>
      </c>
      <c r="AE53" s="16">
        <v>0.45900000000000002</v>
      </c>
      <c r="AF53" s="16">
        <v>0.254</v>
      </c>
      <c r="AG53" s="16">
        <v>0.17199999999999999</v>
      </c>
      <c r="AH53" s="16">
        <v>6.6000000000000003E-2</v>
      </c>
      <c r="AI53" s="16">
        <v>1.6E-2</v>
      </c>
      <c r="AJ53" s="16">
        <v>0</v>
      </c>
      <c r="AK53" s="16">
        <v>0.873</v>
      </c>
      <c r="AL53" s="16">
        <v>0.127</v>
      </c>
    </row>
    <row r="54" spans="1:38" ht="20.100000000000001" customHeight="1" x14ac:dyDescent="0.15">
      <c r="A54" s="14">
        <v>45922</v>
      </c>
      <c r="B54" s="11" t="s">
        <v>183</v>
      </c>
      <c r="C54" s="17">
        <v>11468</v>
      </c>
      <c r="D54" s="17">
        <v>5345</v>
      </c>
      <c r="E54" s="13">
        <v>2.7777777777777779E-3</v>
      </c>
      <c r="F54" s="11">
        <v>7</v>
      </c>
      <c r="G54" s="11">
        <v>4</v>
      </c>
      <c r="H54" s="16">
        <v>0.53900000000000003</v>
      </c>
      <c r="I54" s="16">
        <v>0</v>
      </c>
      <c r="J54" s="16">
        <v>1E-3</v>
      </c>
      <c r="K54" s="16">
        <v>1E-3</v>
      </c>
      <c r="L54" s="16">
        <v>1E-3</v>
      </c>
      <c r="M54" s="16">
        <v>0</v>
      </c>
      <c r="N54" s="16">
        <v>0.38600000000000001</v>
      </c>
      <c r="O54" s="16">
        <v>0.10199999999999999</v>
      </c>
      <c r="P54" s="16">
        <v>0.41199999999999998</v>
      </c>
      <c r="R54" s="16">
        <v>8.6999999999999994E-2</v>
      </c>
      <c r="S54" s="16">
        <v>1.2999999999999999E-2</v>
      </c>
      <c r="U54" s="11">
        <v>4</v>
      </c>
      <c r="W54" s="11">
        <v>39</v>
      </c>
      <c r="X54" s="11">
        <v>0</v>
      </c>
      <c r="Y54" s="11">
        <v>1</v>
      </c>
      <c r="AA54" s="11">
        <v>9</v>
      </c>
      <c r="AB54" s="16">
        <v>9.6000000000000002E-2</v>
      </c>
      <c r="AC54" s="16">
        <v>0.90400000000000003</v>
      </c>
      <c r="AD54" s="16">
        <v>0.17</v>
      </c>
      <c r="AE54" s="16">
        <v>0.59599999999999997</v>
      </c>
      <c r="AF54" s="16">
        <v>8.5000000000000006E-2</v>
      </c>
      <c r="AG54" s="16">
        <v>4.2999999999999997E-2</v>
      </c>
      <c r="AH54" s="16">
        <v>0.106</v>
      </c>
      <c r="AI54" s="16">
        <v>0</v>
      </c>
      <c r="AJ54" s="16">
        <v>0</v>
      </c>
      <c r="AK54" s="16">
        <v>1</v>
      </c>
      <c r="AL54" s="16">
        <v>0</v>
      </c>
    </row>
    <row r="55" spans="1:38" ht="20.100000000000001" customHeight="1" x14ac:dyDescent="0.15">
      <c r="A55" s="14">
        <v>45920</v>
      </c>
      <c r="B55" s="11" t="s">
        <v>184</v>
      </c>
      <c r="C55" s="17">
        <v>13969</v>
      </c>
      <c r="D55" s="17">
        <v>7810</v>
      </c>
      <c r="E55" s="13">
        <v>3.472222222222222E-3</v>
      </c>
      <c r="F55" s="11">
        <v>6</v>
      </c>
      <c r="G55" s="11">
        <v>3</v>
      </c>
      <c r="H55" s="16">
        <v>0.54600000000000004</v>
      </c>
      <c r="I55" s="16">
        <v>0</v>
      </c>
      <c r="J55" s="16">
        <v>1E-3</v>
      </c>
      <c r="K55" s="16">
        <v>1E-3</v>
      </c>
      <c r="L55" s="16">
        <v>1E-3</v>
      </c>
      <c r="M55" s="16">
        <v>0</v>
      </c>
      <c r="N55" s="16">
        <v>0.44600000000000001</v>
      </c>
      <c r="O55" s="16">
        <v>6.3E-2</v>
      </c>
      <c r="P55" s="16">
        <v>0.43099999999999999</v>
      </c>
      <c r="R55" s="16">
        <v>5.6000000000000001E-2</v>
      </c>
      <c r="S55" s="16">
        <v>2E-3</v>
      </c>
      <c r="U55" s="11">
        <v>3</v>
      </c>
      <c r="W55" s="11">
        <v>53</v>
      </c>
      <c r="X55" s="11">
        <v>0</v>
      </c>
      <c r="Y55" s="11">
        <v>2</v>
      </c>
      <c r="AA55" s="11">
        <v>16</v>
      </c>
      <c r="AB55" s="16">
        <v>6.0999999999999999E-2</v>
      </c>
      <c r="AC55" s="16">
        <v>0.93899999999999995</v>
      </c>
      <c r="AD55" s="16">
        <v>0</v>
      </c>
      <c r="AE55" s="16">
        <v>0.78400000000000003</v>
      </c>
      <c r="AF55" s="16">
        <v>0.16200000000000001</v>
      </c>
      <c r="AG55" s="16">
        <v>5.3999999999999999E-2</v>
      </c>
      <c r="AH55" s="16">
        <v>0</v>
      </c>
      <c r="AI55" s="16">
        <v>0</v>
      </c>
      <c r="AJ55" s="16">
        <v>0</v>
      </c>
      <c r="AK55" s="16">
        <v>1</v>
      </c>
      <c r="AL55" s="16">
        <v>0</v>
      </c>
    </row>
    <row r="56" spans="1:38" ht="20.100000000000001" customHeight="1" x14ac:dyDescent="0.15">
      <c r="A56" s="14">
        <v>45917</v>
      </c>
      <c r="B56" s="11" t="s">
        <v>185</v>
      </c>
      <c r="C56" s="17">
        <v>506267</v>
      </c>
      <c r="D56" s="17">
        <v>240606</v>
      </c>
      <c r="E56" s="13">
        <v>3.472222222222222E-3</v>
      </c>
      <c r="F56" s="11">
        <v>8</v>
      </c>
      <c r="G56" s="11">
        <v>105</v>
      </c>
      <c r="H56" s="16">
        <v>0.40600000000000003</v>
      </c>
      <c r="I56" s="16">
        <v>0</v>
      </c>
      <c r="J56" s="16">
        <v>1E-3</v>
      </c>
      <c r="K56" s="16">
        <v>1E-3</v>
      </c>
      <c r="L56" s="16">
        <v>1E-3</v>
      </c>
      <c r="M56" s="16">
        <v>1E-3</v>
      </c>
      <c r="N56" s="16">
        <v>0.48899999999999999</v>
      </c>
      <c r="O56" s="16">
        <v>2.9000000000000001E-2</v>
      </c>
      <c r="P56" s="16">
        <v>0.47</v>
      </c>
      <c r="R56" s="16">
        <v>1.0999999999999999E-2</v>
      </c>
      <c r="U56" s="11">
        <v>105</v>
      </c>
      <c r="W56" s="11">
        <v>1154</v>
      </c>
      <c r="X56" s="11">
        <v>2</v>
      </c>
      <c r="Y56" s="11">
        <v>15</v>
      </c>
      <c r="AA56" s="11">
        <v>647</v>
      </c>
      <c r="AB56" s="16">
        <v>3.0000000000000001E-3</v>
      </c>
      <c r="AC56" s="16">
        <v>0.997</v>
      </c>
      <c r="AD56" s="16">
        <v>3.5000000000000003E-2</v>
      </c>
      <c r="AE56" s="16">
        <v>0.66700000000000004</v>
      </c>
      <c r="AF56" s="16">
        <v>0.158</v>
      </c>
      <c r="AG56" s="16">
        <v>8.7999999999999995E-2</v>
      </c>
      <c r="AH56" s="16">
        <v>0</v>
      </c>
      <c r="AI56" s="16">
        <v>5.2999999999999999E-2</v>
      </c>
      <c r="AJ56" s="16">
        <v>0</v>
      </c>
      <c r="AK56" s="16">
        <v>1</v>
      </c>
      <c r="AL56" s="16">
        <v>0</v>
      </c>
    </row>
    <row r="57" spans="1:38" ht="20.100000000000001" customHeight="1" x14ac:dyDescent="0.15">
      <c r="A57" s="14">
        <v>45914</v>
      </c>
      <c r="B57" s="11" t="s">
        <v>186</v>
      </c>
      <c r="C57" s="17">
        <v>3099</v>
      </c>
      <c r="D57" s="17">
        <v>1718</v>
      </c>
      <c r="E57" s="13">
        <v>2.7777777777777779E-3</v>
      </c>
      <c r="F57" s="11">
        <v>5</v>
      </c>
      <c r="G57" s="11">
        <v>1</v>
      </c>
      <c r="H57" s="16">
        <v>0.57899999999999996</v>
      </c>
      <c r="I57" s="16">
        <v>0</v>
      </c>
      <c r="J57" s="16">
        <v>1E-3</v>
      </c>
      <c r="K57" s="16">
        <v>1E-3</v>
      </c>
      <c r="L57" s="16">
        <v>1E-3</v>
      </c>
      <c r="M57" s="16">
        <v>0</v>
      </c>
      <c r="N57" s="16">
        <v>0.27300000000000002</v>
      </c>
      <c r="O57" s="16">
        <v>0.221</v>
      </c>
      <c r="P57" s="16">
        <v>0.22700000000000001</v>
      </c>
      <c r="R57" s="16">
        <v>0.27800000000000002</v>
      </c>
      <c r="U57" s="11">
        <v>1</v>
      </c>
      <c r="W57" s="11">
        <v>21</v>
      </c>
      <c r="X57" s="11">
        <v>0</v>
      </c>
      <c r="Y57" s="11">
        <v>1</v>
      </c>
      <c r="AA57" s="11">
        <v>3</v>
      </c>
      <c r="AB57" s="16">
        <v>0.255</v>
      </c>
      <c r="AC57" s="16">
        <v>0.745</v>
      </c>
      <c r="AD57" s="16">
        <v>0</v>
      </c>
      <c r="AE57" s="16">
        <v>0.42099999999999999</v>
      </c>
      <c r="AF57" s="16">
        <v>0.21099999999999999</v>
      </c>
      <c r="AG57" s="16">
        <v>0.21099999999999999</v>
      </c>
      <c r="AH57" s="16">
        <v>0.158</v>
      </c>
      <c r="AI57" s="16">
        <v>0</v>
      </c>
      <c r="AJ57" s="16">
        <v>0</v>
      </c>
      <c r="AK57" s="16">
        <v>1</v>
      </c>
      <c r="AL57" s="16">
        <v>0</v>
      </c>
    </row>
    <row r="58" spans="1:38" ht="20.100000000000001" customHeight="1" x14ac:dyDescent="0.15">
      <c r="A58" s="14">
        <v>45910</v>
      </c>
      <c r="B58" s="11" t="s">
        <v>187</v>
      </c>
      <c r="C58" s="17">
        <v>21874</v>
      </c>
      <c r="D58" s="17">
        <v>10677</v>
      </c>
      <c r="E58" s="13">
        <v>3.472222222222222E-3</v>
      </c>
      <c r="F58" s="11">
        <v>9</v>
      </c>
      <c r="G58" s="11">
        <v>9</v>
      </c>
      <c r="H58" s="16">
        <v>0.47299999999999998</v>
      </c>
      <c r="I58" s="16">
        <v>0</v>
      </c>
      <c r="J58" s="16">
        <v>1E-3</v>
      </c>
      <c r="K58" s="16">
        <v>1E-3</v>
      </c>
      <c r="L58" s="16">
        <v>0</v>
      </c>
      <c r="M58" s="16">
        <v>0</v>
      </c>
      <c r="N58" s="16">
        <v>0.50800000000000001</v>
      </c>
      <c r="O58" s="16">
        <v>6.0999999999999999E-2</v>
      </c>
      <c r="P58" s="16">
        <v>0.38600000000000001</v>
      </c>
      <c r="R58" s="16">
        <v>4.3999999999999997E-2</v>
      </c>
      <c r="S58" s="16">
        <v>1E-3</v>
      </c>
      <c r="U58" s="11">
        <v>9</v>
      </c>
      <c r="W58" s="11">
        <v>89</v>
      </c>
      <c r="X58" s="11">
        <v>0</v>
      </c>
      <c r="Y58" s="11">
        <v>0</v>
      </c>
      <c r="AA58" s="11">
        <v>30</v>
      </c>
      <c r="AB58" s="16">
        <v>5.1999999999999998E-2</v>
      </c>
      <c r="AC58" s="16">
        <v>0.94799999999999995</v>
      </c>
      <c r="AD58" s="16">
        <v>0</v>
      </c>
      <c r="AE58" s="16">
        <v>0.86399999999999999</v>
      </c>
      <c r="AF58" s="16">
        <v>9.0999999999999998E-2</v>
      </c>
      <c r="AG58" s="16">
        <v>4.4999999999999998E-2</v>
      </c>
      <c r="AH58" s="16">
        <v>0</v>
      </c>
      <c r="AI58" s="16">
        <v>0</v>
      </c>
      <c r="AJ58" s="16">
        <v>0</v>
      </c>
      <c r="AK58" s="16">
        <v>0.66700000000000004</v>
      </c>
      <c r="AL58" s="16">
        <v>0.33300000000000002</v>
      </c>
    </row>
    <row r="59" spans="1:38" ht="20.100000000000001" customHeight="1" x14ac:dyDescent="0.15">
      <c r="A59" s="14">
        <v>45904</v>
      </c>
      <c r="B59" s="11" t="s">
        <v>188</v>
      </c>
      <c r="C59" s="17">
        <v>2004</v>
      </c>
      <c r="D59" s="17">
        <v>1312</v>
      </c>
      <c r="E59" s="13">
        <v>2.7777777777777779E-3</v>
      </c>
      <c r="F59" s="11">
        <v>3</v>
      </c>
      <c r="G59" s="11">
        <v>0</v>
      </c>
      <c r="H59" s="16">
        <v>0.65400000000000003</v>
      </c>
      <c r="I59" s="16">
        <v>0</v>
      </c>
      <c r="J59" s="16">
        <v>1E-3</v>
      </c>
      <c r="K59" s="16">
        <v>0</v>
      </c>
      <c r="L59" s="16">
        <v>0</v>
      </c>
      <c r="M59" s="16">
        <v>0</v>
      </c>
      <c r="N59" s="16">
        <v>0.249</v>
      </c>
      <c r="O59" s="16">
        <v>0.161</v>
      </c>
      <c r="P59" s="16">
        <v>0.247</v>
      </c>
      <c r="R59" s="16">
        <v>0.33800000000000002</v>
      </c>
      <c r="S59" s="16">
        <v>5.0000000000000001E-3</v>
      </c>
      <c r="U59" s="11">
        <v>0</v>
      </c>
      <c r="W59" s="11">
        <v>12</v>
      </c>
      <c r="X59" s="11">
        <v>0</v>
      </c>
      <c r="Y59" s="11">
        <v>0</v>
      </c>
      <c r="AA59" s="11">
        <v>0</v>
      </c>
      <c r="AB59" s="16">
        <v>0.21199999999999999</v>
      </c>
      <c r="AC59" s="16">
        <v>0.78800000000000003</v>
      </c>
      <c r="AD59" s="16">
        <v>0</v>
      </c>
      <c r="AE59" s="16">
        <v>0.76200000000000001</v>
      </c>
      <c r="AF59" s="16">
        <v>0.14299999999999999</v>
      </c>
      <c r="AG59" s="16">
        <v>9.5000000000000001E-2</v>
      </c>
      <c r="AH59" s="16">
        <v>0</v>
      </c>
      <c r="AI59" s="16">
        <v>0</v>
      </c>
      <c r="AJ59" s="16">
        <v>0</v>
      </c>
      <c r="AK59" s="16">
        <v>1</v>
      </c>
      <c r="AL59" s="16">
        <v>0</v>
      </c>
    </row>
    <row r="60" spans="1:38" ht="20.100000000000001" customHeight="1" x14ac:dyDescent="0.15">
      <c r="A60" s="14">
        <v>45903</v>
      </c>
      <c r="B60" s="11" t="s">
        <v>189</v>
      </c>
      <c r="C60" s="17">
        <v>21879</v>
      </c>
      <c r="D60" s="17">
        <v>10492</v>
      </c>
      <c r="E60" s="13">
        <v>2.0833333333333333E-3</v>
      </c>
      <c r="F60" s="11">
        <v>6</v>
      </c>
      <c r="G60" s="11">
        <v>3</v>
      </c>
      <c r="H60" s="16">
        <v>0.52900000000000003</v>
      </c>
      <c r="I60" s="16">
        <v>0</v>
      </c>
      <c r="J60" s="16">
        <v>1E-3</v>
      </c>
      <c r="K60" s="16">
        <v>1E-3</v>
      </c>
      <c r="L60" s="16">
        <v>1E-3</v>
      </c>
      <c r="M60" s="16">
        <v>0</v>
      </c>
      <c r="N60" s="16">
        <v>0.38</v>
      </c>
      <c r="O60" s="16">
        <v>4.1000000000000002E-2</v>
      </c>
      <c r="P60" s="16">
        <v>0.53700000000000003</v>
      </c>
      <c r="R60" s="16">
        <v>4.1000000000000002E-2</v>
      </c>
      <c r="S60" s="16">
        <v>1E-3</v>
      </c>
      <c r="U60" s="11">
        <v>3</v>
      </c>
      <c r="W60" s="11">
        <v>37</v>
      </c>
      <c r="X60" s="11">
        <v>0</v>
      </c>
      <c r="Y60" s="11">
        <v>1</v>
      </c>
      <c r="AA60" s="11">
        <v>6</v>
      </c>
      <c r="AB60" s="16">
        <v>0.05</v>
      </c>
      <c r="AC60" s="16">
        <v>0.95</v>
      </c>
      <c r="AD60" s="16">
        <v>0</v>
      </c>
      <c r="AE60" s="16">
        <v>0.79200000000000004</v>
      </c>
      <c r="AF60" s="16">
        <v>0.125</v>
      </c>
      <c r="AG60" s="16">
        <v>8.3000000000000004E-2</v>
      </c>
      <c r="AH60" s="16">
        <v>0</v>
      </c>
      <c r="AI60" s="16">
        <v>0</v>
      </c>
      <c r="AJ60" s="16">
        <v>0</v>
      </c>
      <c r="AK60" s="16">
        <v>1</v>
      </c>
      <c r="AL60" s="16">
        <v>0</v>
      </c>
    </row>
    <row r="61" spans="1:38" ht="20.100000000000001" customHeight="1" x14ac:dyDescent="0.15">
      <c r="A61" s="14">
        <v>45902</v>
      </c>
      <c r="B61" s="11" t="s">
        <v>190</v>
      </c>
      <c r="C61" s="17">
        <v>14459</v>
      </c>
      <c r="D61" s="17">
        <v>7603</v>
      </c>
      <c r="E61" s="13">
        <v>2.7777777777777779E-3</v>
      </c>
      <c r="F61" s="11">
        <v>6</v>
      </c>
      <c r="G61" s="11">
        <v>1</v>
      </c>
      <c r="H61" s="16">
        <v>0.54300000000000004</v>
      </c>
      <c r="I61" s="16">
        <v>0</v>
      </c>
      <c r="J61" s="16">
        <v>1E-3</v>
      </c>
      <c r="K61" s="16">
        <v>1E-3</v>
      </c>
      <c r="L61" s="16">
        <v>0</v>
      </c>
      <c r="M61" s="16">
        <v>0</v>
      </c>
      <c r="N61" s="16">
        <v>0.40100000000000002</v>
      </c>
      <c r="O61" s="16">
        <v>0.06</v>
      </c>
      <c r="P61" s="16">
        <v>0.48299999999999998</v>
      </c>
      <c r="R61" s="16">
        <v>5.5E-2</v>
      </c>
      <c r="S61" s="16">
        <v>1E-3</v>
      </c>
      <c r="U61" s="11">
        <v>1</v>
      </c>
      <c r="W61" s="11">
        <v>42</v>
      </c>
      <c r="X61" s="11">
        <v>0</v>
      </c>
      <c r="Y61" s="11">
        <v>0</v>
      </c>
      <c r="AA61" s="11">
        <v>7</v>
      </c>
      <c r="AB61" s="16">
        <v>6.9000000000000006E-2</v>
      </c>
      <c r="AC61" s="16">
        <v>0.93100000000000005</v>
      </c>
      <c r="AD61" s="16">
        <v>0</v>
      </c>
      <c r="AE61" s="16">
        <v>0.75</v>
      </c>
      <c r="AF61" s="16">
        <v>0.125</v>
      </c>
      <c r="AG61" s="16">
        <v>0.125</v>
      </c>
      <c r="AH61" s="16">
        <v>0</v>
      </c>
      <c r="AI61" s="16">
        <v>0</v>
      </c>
      <c r="AJ61" s="16">
        <v>0</v>
      </c>
      <c r="AK61" s="16">
        <v>1</v>
      </c>
      <c r="AL61" s="16">
        <v>0</v>
      </c>
    </row>
    <row r="62" spans="1:38" ht="20.100000000000001" customHeight="1" x14ac:dyDescent="0.15">
      <c r="A62" s="14">
        <v>45901</v>
      </c>
      <c r="B62" s="11" t="s">
        <v>191</v>
      </c>
      <c r="C62" s="17">
        <v>1706</v>
      </c>
      <c r="D62" s="17">
        <v>1071</v>
      </c>
      <c r="E62" s="13">
        <v>2.7777777777777779E-3</v>
      </c>
      <c r="F62" s="11">
        <v>4</v>
      </c>
      <c r="G62" s="11">
        <v>1</v>
      </c>
      <c r="H62" s="16">
        <v>0.68400000000000005</v>
      </c>
      <c r="I62" s="16">
        <v>0</v>
      </c>
      <c r="J62" s="16">
        <v>1E-3</v>
      </c>
      <c r="K62" s="16">
        <v>1E-3</v>
      </c>
      <c r="L62" s="16">
        <v>0</v>
      </c>
      <c r="M62" s="16">
        <v>0</v>
      </c>
      <c r="N62" s="16">
        <v>0.22800000000000001</v>
      </c>
      <c r="O62" s="16">
        <v>0.21299999999999999</v>
      </c>
      <c r="P62" s="16">
        <v>0.28100000000000003</v>
      </c>
      <c r="R62" s="16">
        <v>0.27600000000000002</v>
      </c>
      <c r="S62" s="16">
        <v>2E-3</v>
      </c>
      <c r="U62" s="11">
        <v>1</v>
      </c>
      <c r="W62" s="11">
        <v>10</v>
      </c>
      <c r="X62" s="11">
        <v>0</v>
      </c>
      <c r="Y62" s="11">
        <v>0</v>
      </c>
      <c r="AA62" s="11">
        <v>3</v>
      </c>
      <c r="AB62" s="16">
        <v>0.254</v>
      </c>
      <c r="AC62" s="16">
        <v>0.746</v>
      </c>
      <c r="AD62" s="16">
        <v>0</v>
      </c>
      <c r="AE62" s="16">
        <v>0.82399999999999995</v>
      </c>
      <c r="AF62" s="16">
        <v>5.8999999999999997E-2</v>
      </c>
      <c r="AG62" s="16">
        <v>5.8999999999999997E-2</v>
      </c>
      <c r="AH62" s="16">
        <v>5.8999999999999997E-2</v>
      </c>
      <c r="AI62" s="16">
        <v>0</v>
      </c>
      <c r="AJ62" s="16">
        <v>0</v>
      </c>
      <c r="AK62" s="16">
        <v>1</v>
      </c>
      <c r="AL62" s="16">
        <v>0</v>
      </c>
    </row>
    <row r="63" spans="1:38" ht="20.100000000000001" customHeight="1" x14ac:dyDescent="0.15">
      <c r="A63" s="14">
        <v>45900</v>
      </c>
      <c r="B63" s="11" t="s">
        <v>192</v>
      </c>
      <c r="C63" s="17">
        <v>9094</v>
      </c>
      <c r="D63" s="17">
        <v>4112</v>
      </c>
      <c r="E63" s="13">
        <v>3.472222222222222E-3</v>
      </c>
      <c r="F63" s="11">
        <v>7</v>
      </c>
      <c r="G63" s="11">
        <v>2</v>
      </c>
      <c r="H63" s="16">
        <v>0.53300000000000003</v>
      </c>
      <c r="I63" s="16">
        <v>0</v>
      </c>
      <c r="J63" s="16">
        <v>1E-3</v>
      </c>
      <c r="K63" s="16">
        <v>1E-3</v>
      </c>
      <c r="L63" s="16">
        <v>0</v>
      </c>
      <c r="M63" s="16">
        <v>0</v>
      </c>
      <c r="N63" s="16">
        <v>0.377</v>
      </c>
      <c r="O63" s="16">
        <v>0.114</v>
      </c>
      <c r="P63" s="16">
        <v>0.437</v>
      </c>
      <c r="R63" s="16">
        <v>6.9000000000000006E-2</v>
      </c>
      <c r="S63" s="16">
        <v>2E-3</v>
      </c>
      <c r="U63" s="11">
        <v>2</v>
      </c>
      <c r="W63" s="11">
        <v>37</v>
      </c>
      <c r="X63" s="11">
        <v>0</v>
      </c>
      <c r="Y63" s="11">
        <v>0</v>
      </c>
      <c r="AA63" s="11">
        <v>16</v>
      </c>
      <c r="AB63" s="16">
        <v>0.13100000000000001</v>
      </c>
      <c r="AC63" s="16">
        <v>0.86899999999999999</v>
      </c>
      <c r="AD63" s="16">
        <v>0</v>
      </c>
      <c r="AE63" s="16">
        <v>0.76200000000000001</v>
      </c>
      <c r="AF63" s="16">
        <v>0.19</v>
      </c>
      <c r="AG63" s="16">
        <v>4.8000000000000001E-2</v>
      </c>
      <c r="AH63" s="16">
        <v>0</v>
      </c>
      <c r="AI63" s="16">
        <v>0</v>
      </c>
      <c r="AJ63" s="16">
        <v>0</v>
      </c>
      <c r="AK63" s="16">
        <v>1</v>
      </c>
      <c r="AL63" s="16">
        <v>0</v>
      </c>
    </row>
    <row r="64" spans="1:38" ht="20.100000000000001" customHeight="1" x14ac:dyDescent="0.15">
      <c r="A64" s="14">
        <v>45897</v>
      </c>
      <c r="B64" s="11" t="s">
        <v>193</v>
      </c>
      <c r="C64" s="17">
        <v>33650</v>
      </c>
      <c r="D64" s="17">
        <v>18292</v>
      </c>
      <c r="E64" s="13">
        <v>4.1666666666666666E-3</v>
      </c>
      <c r="F64" s="11">
        <v>7</v>
      </c>
      <c r="G64" s="11">
        <v>6</v>
      </c>
      <c r="H64" s="16">
        <v>0.502</v>
      </c>
      <c r="I64" s="16">
        <v>0</v>
      </c>
      <c r="J64" s="16">
        <v>1E-3</v>
      </c>
      <c r="K64" s="16">
        <v>1E-3</v>
      </c>
      <c r="L64" s="16">
        <v>0</v>
      </c>
      <c r="M64" s="16">
        <v>0</v>
      </c>
      <c r="N64" s="16">
        <v>0.47899999999999998</v>
      </c>
      <c r="O64" s="16">
        <v>6.6000000000000003E-2</v>
      </c>
      <c r="P64" s="16">
        <v>0.437</v>
      </c>
      <c r="R64" s="16">
        <v>1.7000000000000001E-2</v>
      </c>
      <c r="U64" s="11">
        <v>6</v>
      </c>
      <c r="W64" s="11">
        <v>79</v>
      </c>
      <c r="X64" s="11">
        <v>0</v>
      </c>
      <c r="Y64" s="11">
        <v>0</v>
      </c>
      <c r="AA64" s="11">
        <v>44</v>
      </c>
      <c r="AB64" s="16">
        <v>2.4E-2</v>
      </c>
      <c r="AC64" s="16">
        <v>0.97599999999999998</v>
      </c>
      <c r="AD64" s="16">
        <v>0</v>
      </c>
      <c r="AE64" s="16">
        <v>0.83299999999999996</v>
      </c>
      <c r="AF64" s="16">
        <v>5.6000000000000001E-2</v>
      </c>
      <c r="AG64" s="16">
        <v>0.111</v>
      </c>
      <c r="AH64" s="16">
        <v>0</v>
      </c>
      <c r="AI64" s="16">
        <v>0</v>
      </c>
      <c r="AJ64" s="16">
        <v>0</v>
      </c>
      <c r="AK64" s="16">
        <v>1</v>
      </c>
      <c r="AL64" s="16">
        <v>0</v>
      </c>
    </row>
    <row r="65" spans="1:38" ht="20.100000000000001" customHeight="1" x14ac:dyDescent="0.15">
      <c r="A65" s="14">
        <v>45896</v>
      </c>
      <c r="B65" s="11" t="s">
        <v>194</v>
      </c>
      <c r="C65" s="17">
        <v>13263</v>
      </c>
      <c r="D65" s="17">
        <v>8002</v>
      </c>
      <c r="E65" s="13">
        <v>2.7777777777777779E-3</v>
      </c>
      <c r="F65" s="11">
        <v>5</v>
      </c>
      <c r="G65" s="11">
        <v>1</v>
      </c>
      <c r="H65" s="16">
        <v>0.53400000000000003</v>
      </c>
      <c r="I65" s="16">
        <v>0</v>
      </c>
      <c r="J65" s="16">
        <v>1E-3</v>
      </c>
      <c r="K65" s="16">
        <v>1E-3</v>
      </c>
      <c r="L65" s="16">
        <v>0</v>
      </c>
      <c r="M65" s="16">
        <v>0</v>
      </c>
      <c r="N65" s="16">
        <v>0.40600000000000003</v>
      </c>
      <c r="O65" s="16">
        <v>5.1999999999999998E-2</v>
      </c>
      <c r="P65" s="16">
        <v>0.498</v>
      </c>
      <c r="R65" s="16">
        <v>4.2000000000000003E-2</v>
      </c>
      <c r="S65" s="16">
        <v>1E-3</v>
      </c>
      <c r="U65" s="11">
        <v>1</v>
      </c>
      <c r="W65" s="11">
        <v>28</v>
      </c>
      <c r="X65" s="11">
        <v>0</v>
      </c>
      <c r="Y65" s="11">
        <v>0</v>
      </c>
      <c r="AA65" s="11">
        <v>5</v>
      </c>
      <c r="AB65" s="16">
        <v>5.8999999999999997E-2</v>
      </c>
      <c r="AC65" s="16">
        <v>0.94099999999999995</v>
      </c>
      <c r="AD65" s="16">
        <v>0</v>
      </c>
      <c r="AE65" s="16">
        <v>0.79200000000000004</v>
      </c>
      <c r="AF65" s="16">
        <v>0.125</v>
      </c>
      <c r="AG65" s="16">
        <v>8.3000000000000004E-2</v>
      </c>
      <c r="AH65" s="16">
        <v>0</v>
      </c>
      <c r="AI65" s="16">
        <v>0</v>
      </c>
      <c r="AJ65" s="16">
        <v>0</v>
      </c>
      <c r="AK65" s="16">
        <v>1</v>
      </c>
      <c r="AL65" s="16">
        <v>0</v>
      </c>
    </row>
    <row r="66" spans="1:38" ht="20.100000000000001" customHeight="1" x14ac:dyDescent="0.15">
      <c r="A66" s="14">
        <v>45895</v>
      </c>
      <c r="B66" s="11" t="s">
        <v>195</v>
      </c>
      <c r="C66" s="17">
        <v>4417</v>
      </c>
      <c r="D66" s="17">
        <v>2255</v>
      </c>
      <c r="E66" s="13">
        <v>2.7777777777777779E-3</v>
      </c>
      <c r="F66" s="11">
        <v>5</v>
      </c>
      <c r="G66" s="11">
        <v>1</v>
      </c>
      <c r="H66" s="16">
        <v>0.55300000000000005</v>
      </c>
      <c r="I66" s="16">
        <v>0</v>
      </c>
      <c r="J66" s="16">
        <v>1E-3</v>
      </c>
      <c r="K66" s="16">
        <v>1E-3</v>
      </c>
      <c r="L66" s="16">
        <v>0</v>
      </c>
      <c r="M66" s="16">
        <v>0</v>
      </c>
      <c r="N66" s="16">
        <v>0.34899999999999998</v>
      </c>
      <c r="O66" s="16">
        <v>0.16300000000000001</v>
      </c>
      <c r="P66" s="16">
        <v>0.35</v>
      </c>
      <c r="R66" s="16">
        <v>0.13400000000000001</v>
      </c>
      <c r="S66" s="16">
        <v>4.0000000000000001E-3</v>
      </c>
      <c r="U66" s="11">
        <v>1</v>
      </c>
      <c r="W66" s="11">
        <v>22</v>
      </c>
      <c r="X66" s="11">
        <v>0</v>
      </c>
      <c r="Y66" s="11">
        <v>0</v>
      </c>
      <c r="AA66" s="11">
        <v>4</v>
      </c>
      <c r="AB66" s="16">
        <v>0.17799999999999999</v>
      </c>
      <c r="AC66" s="16">
        <v>0.82199999999999995</v>
      </c>
      <c r="AD66" s="16">
        <v>0</v>
      </c>
      <c r="AE66" s="16">
        <v>0.75</v>
      </c>
      <c r="AF66" s="16">
        <v>0.15</v>
      </c>
      <c r="AG66" s="16">
        <v>0.1</v>
      </c>
      <c r="AH66" s="16">
        <v>0</v>
      </c>
      <c r="AI66" s="16">
        <v>0</v>
      </c>
      <c r="AJ66" s="16">
        <v>0</v>
      </c>
      <c r="AK66" s="16">
        <v>1</v>
      </c>
      <c r="AL66" s="16">
        <v>0</v>
      </c>
    </row>
    <row r="67" spans="1:38" ht="20.100000000000001" customHeight="1" x14ac:dyDescent="0.15">
      <c r="A67" s="14">
        <v>45894</v>
      </c>
      <c r="B67" s="11" t="s">
        <v>196</v>
      </c>
      <c r="C67" s="17">
        <v>32258</v>
      </c>
      <c r="D67" s="17">
        <v>17485</v>
      </c>
      <c r="E67" s="13">
        <v>2.7777777777777779E-3</v>
      </c>
      <c r="F67" s="11">
        <v>6</v>
      </c>
      <c r="G67" s="11">
        <v>6</v>
      </c>
      <c r="H67" s="16">
        <v>0.50700000000000001</v>
      </c>
      <c r="I67" s="16">
        <v>0</v>
      </c>
      <c r="J67" s="16">
        <v>1E-3</v>
      </c>
      <c r="K67" s="16">
        <v>1E-3</v>
      </c>
      <c r="L67" s="16">
        <v>0</v>
      </c>
      <c r="M67" s="16">
        <v>0</v>
      </c>
      <c r="N67" s="16">
        <v>0.41699999999999998</v>
      </c>
      <c r="O67" s="16">
        <v>7.0999999999999994E-2</v>
      </c>
      <c r="P67" s="16">
        <v>0.49099999999999999</v>
      </c>
      <c r="R67" s="16">
        <v>1.9E-2</v>
      </c>
      <c r="S67" s="16">
        <v>2E-3</v>
      </c>
      <c r="U67" s="11">
        <v>6</v>
      </c>
      <c r="W67" s="11">
        <v>85</v>
      </c>
      <c r="X67" s="11">
        <v>0</v>
      </c>
      <c r="Y67" s="11">
        <v>0</v>
      </c>
      <c r="AA67" s="11">
        <v>43</v>
      </c>
      <c r="AB67" s="16">
        <v>3.9E-2</v>
      </c>
      <c r="AC67" s="16">
        <v>0.96099999999999997</v>
      </c>
      <c r="AD67" s="16">
        <v>0</v>
      </c>
      <c r="AE67" s="16">
        <v>0.84</v>
      </c>
      <c r="AF67" s="16">
        <v>0.12</v>
      </c>
      <c r="AG67" s="16">
        <v>0.04</v>
      </c>
      <c r="AH67" s="16">
        <v>0</v>
      </c>
      <c r="AI67" s="16">
        <v>0</v>
      </c>
      <c r="AJ67" s="16">
        <v>0</v>
      </c>
      <c r="AK67" s="16">
        <v>1</v>
      </c>
      <c r="AL67" s="16">
        <v>0</v>
      </c>
    </row>
    <row r="68" spans="1:38" ht="20.100000000000001" customHeight="1" x14ac:dyDescent="0.15">
      <c r="A68" s="14">
        <v>45893</v>
      </c>
      <c r="B68" s="11" t="s">
        <v>197</v>
      </c>
      <c r="C68" s="17">
        <v>11366</v>
      </c>
      <c r="D68" s="17">
        <v>5618</v>
      </c>
      <c r="E68" s="13">
        <v>2.0833333333333333E-3</v>
      </c>
      <c r="F68" s="11">
        <v>7</v>
      </c>
      <c r="G68" s="11">
        <v>2</v>
      </c>
      <c r="H68" s="16">
        <v>0.55700000000000005</v>
      </c>
      <c r="I68" s="16">
        <v>0</v>
      </c>
      <c r="J68" s="16">
        <v>1E-3</v>
      </c>
      <c r="K68" s="16">
        <v>1E-3</v>
      </c>
      <c r="L68" s="16">
        <v>1E-3</v>
      </c>
      <c r="M68" s="16">
        <v>0</v>
      </c>
      <c r="N68" s="16">
        <v>0.39700000000000002</v>
      </c>
      <c r="O68" s="16">
        <v>7.3999999999999996E-2</v>
      </c>
      <c r="P68" s="16">
        <v>0.47099999999999997</v>
      </c>
      <c r="R68" s="16">
        <v>5.7000000000000002E-2</v>
      </c>
      <c r="S68" s="16">
        <v>1E-3</v>
      </c>
      <c r="U68" s="11">
        <v>2</v>
      </c>
      <c r="W68" s="11">
        <v>43</v>
      </c>
      <c r="X68" s="11">
        <v>1</v>
      </c>
      <c r="Y68" s="11">
        <v>0</v>
      </c>
      <c r="AA68" s="11">
        <v>17</v>
      </c>
      <c r="AB68" s="16">
        <v>0.08</v>
      </c>
      <c r="AC68" s="16">
        <v>0.92</v>
      </c>
      <c r="AD68" s="16">
        <v>0</v>
      </c>
      <c r="AE68" s="16">
        <v>0.82599999999999996</v>
      </c>
      <c r="AF68" s="16">
        <v>4.2999999999999997E-2</v>
      </c>
      <c r="AG68" s="16">
        <v>0</v>
      </c>
      <c r="AH68" s="16">
        <v>0.13</v>
      </c>
      <c r="AI68" s="16">
        <v>0</v>
      </c>
      <c r="AJ68" s="16">
        <v>0</v>
      </c>
      <c r="AK68" s="16">
        <v>1</v>
      </c>
      <c r="AL68" s="16">
        <v>0</v>
      </c>
    </row>
    <row r="69" spans="1:38" ht="20.100000000000001" customHeight="1" x14ac:dyDescent="0.15">
      <c r="A69" s="14">
        <v>45891</v>
      </c>
      <c r="B69" s="11" t="s">
        <v>198</v>
      </c>
      <c r="C69" s="17">
        <v>5598</v>
      </c>
      <c r="D69" s="17">
        <v>2946</v>
      </c>
      <c r="E69" s="13">
        <v>2.0833333333333333E-3</v>
      </c>
      <c r="F69" s="11">
        <v>5</v>
      </c>
      <c r="G69" s="11">
        <v>2</v>
      </c>
      <c r="H69" s="16">
        <v>0.54</v>
      </c>
      <c r="I69" s="16">
        <v>0</v>
      </c>
      <c r="J69" s="16">
        <v>1E-3</v>
      </c>
      <c r="K69" s="16">
        <v>1E-3</v>
      </c>
      <c r="L69" s="16">
        <v>0</v>
      </c>
      <c r="M69" s="16">
        <v>0</v>
      </c>
      <c r="N69" s="16">
        <v>0.374</v>
      </c>
      <c r="O69" s="16">
        <v>0.159</v>
      </c>
      <c r="P69" s="16">
        <v>0.36099999999999999</v>
      </c>
      <c r="R69" s="16">
        <v>0.106</v>
      </c>
      <c r="U69" s="11">
        <v>2</v>
      </c>
      <c r="W69" s="11">
        <v>36</v>
      </c>
      <c r="X69" s="11">
        <v>0</v>
      </c>
      <c r="Y69" s="11">
        <v>0</v>
      </c>
      <c r="AA69" s="11">
        <v>3</v>
      </c>
      <c r="AB69" s="16">
        <v>0.14899999999999999</v>
      </c>
      <c r="AC69" s="16">
        <v>0.85099999999999998</v>
      </c>
      <c r="AD69" s="16">
        <v>0</v>
      </c>
      <c r="AE69" s="16">
        <v>0.95199999999999996</v>
      </c>
      <c r="AF69" s="16">
        <v>4.8000000000000001E-2</v>
      </c>
      <c r="AG69" s="16">
        <v>0</v>
      </c>
      <c r="AH69" s="16">
        <v>0</v>
      </c>
      <c r="AI69" s="16">
        <v>0</v>
      </c>
      <c r="AJ69" s="16">
        <v>0</v>
      </c>
    </row>
    <row r="70" spans="1:38" ht="20.100000000000001" customHeight="1" x14ac:dyDescent="0.15">
      <c r="A70" s="14">
        <v>45890</v>
      </c>
      <c r="B70" s="11" t="s">
        <v>199</v>
      </c>
      <c r="C70" s="17">
        <v>30376</v>
      </c>
      <c r="D70" s="17">
        <v>15709</v>
      </c>
      <c r="E70" s="13">
        <v>2.7777777777777779E-3</v>
      </c>
      <c r="F70" s="11">
        <v>6</v>
      </c>
      <c r="G70" s="11">
        <v>0</v>
      </c>
      <c r="H70" s="16">
        <v>0.54400000000000004</v>
      </c>
      <c r="I70" s="16">
        <v>0</v>
      </c>
      <c r="J70" s="16">
        <v>1E-3</v>
      </c>
      <c r="K70" s="16">
        <v>1E-3</v>
      </c>
      <c r="L70" s="16">
        <v>0</v>
      </c>
      <c r="M70" s="16">
        <v>0</v>
      </c>
      <c r="N70" s="16">
        <v>0.38600000000000001</v>
      </c>
      <c r="O70" s="16">
        <v>3.5000000000000003E-2</v>
      </c>
      <c r="P70" s="16">
        <v>0.55400000000000005</v>
      </c>
      <c r="R70" s="16">
        <v>2.4E-2</v>
      </c>
      <c r="U70" s="11">
        <v>0</v>
      </c>
      <c r="W70" s="11">
        <v>38</v>
      </c>
      <c r="X70" s="11">
        <v>0</v>
      </c>
      <c r="Y70" s="11">
        <v>0</v>
      </c>
      <c r="AA70" s="11">
        <v>3</v>
      </c>
      <c r="AB70" s="16">
        <v>3.4000000000000002E-2</v>
      </c>
      <c r="AC70" s="16">
        <v>0.96599999999999997</v>
      </c>
      <c r="AD70" s="16">
        <v>0</v>
      </c>
      <c r="AE70" s="16">
        <v>0.95799999999999996</v>
      </c>
      <c r="AF70" s="16">
        <v>4.2000000000000003E-2</v>
      </c>
      <c r="AG70" s="16">
        <v>0</v>
      </c>
      <c r="AH70" s="16">
        <v>0</v>
      </c>
      <c r="AI70" s="16">
        <v>0</v>
      </c>
      <c r="AJ70" s="16">
        <v>0</v>
      </c>
    </row>
    <row r="71" spans="1:38" ht="20.100000000000001" customHeight="1" x14ac:dyDescent="0.15">
      <c r="A71" s="14">
        <v>45890</v>
      </c>
      <c r="B71" s="11" t="s">
        <v>200</v>
      </c>
      <c r="C71" s="17">
        <v>29013</v>
      </c>
      <c r="D71" s="17">
        <v>15547</v>
      </c>
      <c r="E71" s="13">
        <v>2.7777777777777779E-3</v>
      </c>
      <c r="F71" s="11">
        <v>6</v>
      </c>
      <c r="G71" s="11">
        <v>5</v>
      </c>
      <c r="H71" s="16">
        <v>0.55900000000000005</v>
      </c>
      <c r="I71" s="16">
        <v>0</v>
      </c>
      <c r="J71" s="16">
        <v>1E-3</v>
      </c>
      <c r="K71" s="16">
        <v>1E-3</v>
      </c>
      <c r="L71" s="16">
        <v>1E-3</v>
      </c>
      <c r="M71" s="16">
        <v>0</v>
      </c>
      <c r="N71" s="16">
        <v>0.42299999999999999</v>
      </c>
      <c r="O71" s="16">
        <v>3.3000000000000002E-2</v>
      </c>
      <c r="P71" s="16">
        <v>0.52100000000000002</v>
      </c>
      <c r="R71" s="16">
        <v>2.3E-2</v>
      </c>
      <c r="U71" s="11">
        <v>5</v>
      </c>
      <c r="W71" s="11">
        <v>40</v>
      </c>
      <c r="X71" s="11">
        <v>0</v>
      </c>
      <c r="Y71" s="11">
        <v>1</v>
      </c>
      <c r="AA71" s="11">
        <v>10</v>
      </c>
      <c r="AB71" s="16">
        <v>3.2000000000000001E-2</v>
      </c>
      <c r="AC71" s="16">
        <v>0.96799999999999997</v>
      </c>
      <c r="AD71" s="16">
        <v>0</v>
      </c>
      <c r="AE71" s="16">
        <v>0.92</v>
      </c>
      <c r="AF71" s="16">
        <v>0.08</v>
      </c>
      <c r="AG71" s="16">
        <v>0</v>
      </c>
      <c r="AH71" s="16">
        <v>0</v>
      </c>
      <c r="AI71" s="16">
        <v>0</v>
      </c>
      <c r="AJ71" s="16">
        <v>0</v>
      </c>
    </row>
    <row r="72" spans="1:38" ht="20.100000000000001" customHeight="1" x14ac:dyDescent="0.15">
      <c r="A72" s="14">
        <v>45876</v>
      </c>
      <c r="B72" s="11" t="s">
        <v>201</v>
      </c>
      <c r="C72" s="17">
        <v>27856</v>
      </c>
      <c r="D72" s="17">
        <v>14130</v>
      </c>
      <c r="E72" s="13">
        <v>3.472222222222222E-3</v>
      </c>
      <c r="F72" s="11">
        <v>7</v>
      </c>
      <c r="G72" s="11">
        <v>9</v>
      </c>
      <c r="H72" s="16">
        <v>0.501</v>
      </c>
      <c r="I72" s="16">
        <v>0</v>
      </c>
      <c r="J72" s="16">
        <v>1E-3</v>
      </c>
      <c r="K72" s="16">
        <v>1E-3</v>
      </c>
      <c r="L72" s="16">
        <v>1E-3</v>
      </c>
      <c r="M72" s="16">
        <v>0</v>
      </c>
      <c r="N72" s="16">
        <v>0.47199999999999998</v>
      </c>
      <c r="O72" s="16">
        <v>5.2999999999999999E-2</v>
      </c>
      <c r="P72" s="16">
        <v>0.42399999999999999</v>
      </c>
      <c r="R72" s="16">
        <v>4.9000000000000002E-2</v>
      </c>
      <c r="U72" s="11">
        <v>9</v>
      </c>
      <c r="W72" s="11">
        <v>62</v>
      </c>
      <c r="X72" s="11">
        <v>0</v>
      </c>
      <c r="Y72" s="11">
        <v>2</v>
      </c>
      <c r="AA72" s="11">
        <v>22</v>
      </c>
      <c r="AB72" s="16">
        <v>2.8000000000000001E-2</v>
      </c>
      <c r="AC72" s="16">
        <v>0.97199999999999998</v>
      </c>
      <c r="AD72" s="16">
        <v>0</v>
      </c>
      <c r="AE72" s="16">
        <v>1</v>
      </c>
      <c r="AF72" s="16">
        <v>0</v>
      </c>
      <c r="AG72" s="16">
        <v>0</v>
      </c>
      <c r="AH72" s="16">
        <v>0</v>
      </c>
      <c r="AI72" s="16">
        <v>0</v>
      </c>
      <c r="AJ72" s="16">
        <v>0</v>
      </c>
    </row>
    <row r="73" spans="1:38" ht="20.100000000000001" customHeight="1" x14ac:dyDescent="0.15">
      <c r="A73" s="14">
        <v>45873</v>
      </c>
      <c r="B73" s="11" t="s">
        <v>202</v>
      </c>
      <c r="C73" s="17">
        <v>22789</v>
      </c>
      <c r="D73" s="17">
        <v>12308</v>
      </c>
      <c r="E73" s="13">
        <v>2.7777777777777779E-3</v>
      </c>
      <c r="F73" s="11">
        <v>5</v>
      </c>
      <c r="G73" s="11">
        <v>6</v>
      </c>
      <c r="H73" s="16">
        <v>0.59</v>
      </c>
      <c r="I73" s="16">
        <v>0</v>
      </c>
      <c r="J73" s="16">
        <v>1E-3</v>
      </c>
      <c r="K73" s="16">
        <v>1E-3</v>
      </c>
      <c r="L73" s="16">
        <v>0</v>
      </c>
      <c r="M73" s="16">
        <v>0</v>
      </c>
      <c r="N73" s="16">
        <v>0.4</v>
      </c>
      <c r="O73" s="16">
        <v>5.7000000000000002E-2</v>
      </c>
      <c r="P73" s="16">
        <v>0.46300000000000002</v>
      </c>
      <c r="R73" s="16">
        <v>7.6999999999999999E-2</v>
      </c>
      <c r="S73" s="16">
        <v>1E-3</v>
      </c>
      <c r="U73" s="11">
        <v>6</v>
      </c>
      <c r="W73" s="11">
        <v>55</v>
      </c>
      <c r="X73" s="11">
        <v>0</v>
      </c>
      <c r="Y73" s="11">
        <v>0</v>
      </c>
      <c r="AA73" s="11">
        <v>14</v>
      </c>
      <c r="AB73" s="16">
        <v>3.6999999999999998E-2</v>
      </c>
      <c r="AC73" s="16">
        <v>0.96299999999999997</v>
      </c>
      <c r="AD73" s="16">
        <v>0</v>
      </c>
      <c r="AE73" s="16">
        <v>0.94399999999999995</v>
      </c>
      <c r="AF73" s="16">
        <v>0</v>
      </c>
      <c r="AG73" s="16">
        <v>0</v>
      </c>
      <c r="AH73" s="16">
        <v>5.6000000000000001E-2</v>
      </c>
      <c r="AI73" s="16">
        <v>0</v>
      </c>
      <c r="AJ73" s="16">
        <v>0</v>
      </c>
      <c r="AK73" s="16">
        <v>1</v>
      </c>
      <c r="AL73" s="16">
        <v>0</v>
      </c>
    </row>
    <row r="74" spans="1:38" ht="20.100000000000001" customHeight="1" x14ac:dyDescent="0.15">
      <c r="A74" s="14">
        <v>45872</v>
      </c>
      <c r="B74" s="11" t="s">
        <v>203</v>
      </c>
      <c r="C74" s="17">
        <v>7010</v>
      </c>
      <c r="D74" s="17">
        <v>4795</v>
      </c>
      <c r="E74" s="13">
        <v>3.472222222222222E-3</v>
      </c>
      <c r="F74" s="11">
        <v>4</v>
      </c>
      <c r="G74" s="11">
        <v>1</v>
      </c>
      <c r="H74" s="16">
        <v>0.57599999999999996</v>
      </c>
      <c r="I74" s="16">
        <v>0</v>
      </c>
      <c r="J74" s="16">
        <v>1E-3</v>
      </c>
      <c r="K74" s="16">
        <v>1E-3</v>
      </c>
      <c r="L74" s="16">
        <v>0</v>
      </c>
      <c r="M74" s="16">
        <v>0</v>
      </c>
      <c r="N74" s="16">
        <v>0.36</v>
      </c>
      <c r="O74" s="16">
        <v>0.06</v>
      </c>
      <c r="P74" s="16">
        <v>0.42199999999999999</v>
      </c>
      <c r="R74" s="16">
        <v>0.157</v>
      </c>
      <c r="U74" s="11">
        <v>1</v>
      </c>
      <c r="W74" s="11">
        <v>30</v>
      </c>
      <c r="X74" s="11">
        <v>0</v>
      </c>
      <c r="Y74" s="11">
        <v>0</v>
      </c>
      <c r="AA74" s="11">
        <v>4</v>
      </c>
      <c r="AB74" s="16">
        <v>6.6000000000000003E-2</v>
      </c>
      <c r="AC74" s="16">
        <v>0.93400000000000005</v>
      </c>
      <c r="AD74" s="16">
        <v>0</v>
      </c>
      <c r="AE74" s="16">
        <v>1</v>
      </c>
      <c r="AF74" s="16">
        <v>0</v>
      </c>
      <c r="AG74" s="16">
        <v>0</v>
      </c>
      <c r="AH74" s="16">
        <v>0</v>
      </c>
      <c r="AI74" s="16">
        <v>0</v>
      </c>
      <c r="AJ74" s="16">
        <v>0</v>
      </c>
    </row>
    <row r="75" spans="1:38" ht="20.100000000000001" customHeight="1" x14ac:dyDescent="0.15">
      <c r="A75" s="14">
        <v>45872</v>
      </c>
      <c r="B75" s="11" t="s">
        <v>204</v>
      </c>
      <c r="C75" s="17">
        <v>23618</v>
      </c>
      <c r="D75" s="17">
        <v>11476</v>
      </c>
      <c r="E75" s="13">
        <v>2.7777777777777779E-3</v>
      </c>
      <c r="F75" s="11">
        <v>5</v>
      </c>
      <c r="G75" s="11">
        <v>10</v>
      </c>
      <c r="H75" s="16">
        <v>0.52</v>
      </c>
      <c r="I75" s="16">
        <v>0</v>
      </c>
      <c r="J75" s="16">
        <v>1E-3</v>
      </c>
      <c r="K75" s="16">
        <v>1E-3</v>
      </c>
      <c r="L75" s="16">
        <v>0</v>
      </c>
      <c r="M75" s="16">
        <v>0</v>
      </c>
      <c r="N75" s="16">
        <v>0.38400000000000001</v>
      </c>
      <c r="O75" s="16">
        <v>6.7000000000000004E-2</v>
      </c>
      <c r="P75" s="16">
        <v>0.46800000000000003</v>
      </c>
      <c r="R75" s="16">
        <v>7.9000000000000001E-2</v>
      </c>
      <c r="S75" s="16">
        <v>1E-3</v>
      </c>
      <c r="U75" s="11">
        <v>10</v>
      </c>
      <c r="W75" s="11">
        <v>61</v>
      </c>
      <c r="X75" s="11">
        <v>0</v>
      </c>
      <c r="Y75" s="11">
        <v>0</v>
      </c>
      <c r="AA75" s="11">
        <v>15</v>
      </c>
      <c r="AB75" s="16">
        <v>3.4000000000000002E-2</v>
      </c>
      <c r="AC75" s="16">
        <v>0.96599999999999997</v>
      </c>
      <c r="AD75" s="16">
        <v>0</v>
      </c>
      <c r="AE75" s="16">
        <v>1</v>
      </c>
      <c r="AF75" s="16">
        <v>0</v>
      </c>
      <c r="AG75" s="16">
        <v>0</v>
      </c>
      <c r="AH75" s="16">
        <v>0</v>
      </c>
      <c r="AI75" s="16">
        <v>0</v>
      </c>
      <c r="AJ75" s="16">
        <v>0</v>
      </c>
    </row>
    <row r="76" spans="1:38" ht="20.100000000000001" customHeight="1" x14ac:dyDescent="0.15">
      <c r="A76" s="14">
        <v>45868</v>
      </c>
      <c r="B76" s="11" t="s">
        <v>205</v>
      </c>
      <c r="C76" s="17">
        <v>1736573</v>
      </c>
      <c r="D76" s="17">
        <v>779933</v>
      </c>
      <c r="E76" s="13">
        <v>3.472222222222222E-3</v>
      </c>
      <c r="F76" s="11">
        <v>8</v>
      </c>
      <c r="G76" s="11">
        <v>394</v>
      </c>
      <c r="H76" s="16">
        <v>0.39100000000000001</v>
      </c>
      <c r="I76" s="16">
        <v>0</v>
      </c>
      <c r="J76" s="16">
        <v>1E-3</v>
      </c>
      <c r="K76" s="16">
        <v>1E-3</v>
      </c>
      <c r="L76" s="16">
        <v>1E-3</v>
      </c>
      <c r="M76" s="16">
        <v>1E-3</v>
      </c>
      <c r="N76" s="16">
        <v>0.375</v>
      </c>
      <c r="O76" s="16">
        <v>0.34599999999999997</v>
      </c>
      <c r="P76" s="16">
        <v>0.27300000000000002</v>
      </c>
      <c r="R76" s="16">
        <v>1.4999999999999999E-2</v>
      </c>
      <c r="U76" s="11">
        <v>394</v>
      </c>
      <c r="W76" s="11">
        <v>1805</v>
      </c>
      <c r="X76" s="11">
        <v>5</v>
      </c>
      <c r="Y76" s="11">
        <v>41</v>
      </c>
      <c r="AA76" s="11">
        <v>705</v>
      </c>
      <c r="AB76" s="16">
        <v>1E-3</v>
      </c>
      <c r="AC76" s="16">
        <v>0.999</v>
      </c>
      <c r="AD76" s="16">
        <v>0.05</v>
      </c>
      <c r="AE76" s="16">
        <v>0.60399999999999998</v>
      </c>
      <c r="AF76" s="16">
        <v>0.187</v>
      </c>
      <c r="AG76" s="16">
        <v>0.108</v>
      </c>
      <c r="AH76" s="16">
        <v>2.1999999999999999E-2</v>
      </c>
      <c r="AI76" s="16">
        <v>2.9000000000000001E-2</v>
      </c>
      <c r="AJ76" s="16">
        <v>0</v>
      </c>
      <c r="AK76" s="16">
        <v>0.94599999999999995</v>
      </c>
      <c r="AL76" s="16">
        <v>5.3999999999999999E-2</v>
      </c>
    </row>
    <row r="77" spans="1:38" ht="20.100000000000001" customHeight="1" x14ac:dyDescent="0.15">
      <c r="A77" s="14">
        <v>45865</v>
      </c>
      <c r="B77" s="11" t="s">
        <v>206</v>
      </c>
      <c r="C77" s="17">
        <v>8551</v>
      </c>
      <c r="D77" s="17">
        <v>4068</v>
      </c>
      <c r="E77" s="13">
        <v>3.472222222222222E-3</v>
      </c>
      <c r="F77" s="11">
        <v>7</v>
      </c>
      <c r="G77" s="11">
        <v>3</v>
      </c>
      <c r="H77" s="16">
        <v>0.442</v>
      </c>
      <c r="I77" s="16">
        <v>0</v>
      </c>
      <c r="J77" s="16">
        <v>1E-3</v>
      </c>
      <c r="K77" s="16">
        <v>1E-3</v>
      </c>
      <c r="L77" s="16">
        <v>0</v>
      </c>
      <c r="M77" s="16">
        <v>0</v>
      </c>
      <c r="N77" s="16">
        <v>0.35199999999999998</v>
      </c>
      <c r="O77" s="16">
        <v>0.111</v>
      </c>
      <c r="P77" s="16">
        <v>0.33100000000000002</v>
      </c>
      <c r="R77" s="16">
        <v>0.20399999999999999</v>
      </c>
      <c r="S77" s="16">
        <v>2E-3</v>
      </c>
      <c r="U77" s="11">
        <v>3</v>
      </c>
      <c r="W77" s="11">
        <v>49</v>
      </c>
      <c r="X77" s="11">
        <v>0</v>
      </c>
      <c r="Y77" s="11">
        <v>0</v>
      </c>
      <c r="AA77" s="11">
        <v>10</v>
      </c>
      <c r="AB77" s="16">
        <v>0.12</v>
      </c>
      <c r="AC77" s="16">
        <v>0.88</v>
      </c>
      <c r="AD77" s="16">
        <v>0</v>
      </c>
      <c r="AE77" s="16">
        <v>1</v>
      </c>
      <c r="AF77" s="16">
        <v>0</v>
      </c>
      <c r="AG77" s="16">
        <v>0</v>
      </c>
      <c r="AH77" s="16">
        <v>0</v>
      </c>
      <c r="AI77" s="16">
        <v>0</v>
      </c>
      <c r="AJ77" s="16">
        <v>0</v>
      </c>
    </row>
    <row r="78" spans="1:38" ht="20.100000000000001" customHeight="1" x14ac:dyDescent="0.15">
      <c r="A78" s="14">
        <v>45861</v>
      </c>
      <c r="B78" s="11" t="s">
        <v>207</v>
      </c>
      <c r="C78" s="17">
        <v>3455</v>
      </c>
      <c r="D78" s="17">
        <v>1655</v>
      </c>
      <c r="E78" s="13">
        <v>3.472222222222222E-3</v>
      </c>
      <c r="F78" s="11">
        <v>7</v>
      </c>
      <c r="G78" s="11">
        <v>4</v>
      </c>
      <c r="H78" s="16">
        <v>0.50600000000000001</v>
      </c>
      <c r="I78" s="16">
        <v>0</v>
      </c>
      <c r="J78" s="16">
        <v>1E-3</v>
      </c>
      <c r="K78" s="16">
        <v>0</v>
      </c>
      <c r="L78" s="16">
        <v>0</v>
      </c>
      <c r="M78" s="16">
        <v>0</v>
      </c>
      <c r="N78" s="16">
        <v>0.23400000000000001</v>
      </c>
      <c r="O78" s="16">
        <v>0.128</v>
      </c>
      <c r="P78" s="16">
        <v>0.24</v>
      </c>
      <c r="R78" s="16">
        <v>0.38400000000000001</v>
      </c>
      <c r="S78" s="16">
        <v>1.2999999999999999E-2</v>
      </c>
      <c r="U78" s="11">
        <v>4</v>
      </c>
      <c r="W78" s="11">
        <v>17</v>
      </c>
      <c r="X78" s="11">
        <v>0</v>
      </c>
      <c r="Y78" s="11">
        <v>0</v>
      </c>
      <c r="AA78" s="11">
        <v>0</v>
      </c>
      <c r="AB78" s="16">
        <v>0.16500000000000001</v>
      </c>
      <c r="AC78" s="16">
        <v>0.83499999999999996</v>
      </c>
      <c r="AD78" s="16">
        <v>0</v>
      </c>
      <c r="AE78" s="16">
        <v>1</v>
      </c>
      <c r="AF78" s="16">
        <v>0</v>
      </c>
      <c r="AG78" s="16">
        <v>0</v>
      </c>
      <c r="AH78" s="16">
        <v>0</v>
      </c>
      <c r="AI78" s="16">
        <v>0</v>
      </c>
      <c r="AJ78" s="16">
        <v>0</v>
      </c>
    </row>
    <row r="79" spans="1:38" ht="20.100000000000001" customHeight="1" x14ac:dyDescent="0.15">
      <c r="A79" s="14">
        <v>45859</v>
      </c>
      <c r="B79" s="11" t="s">
        <v>208</v>
      </c>
      <c r="C79" s="17">
        <v>129134</v>
      </c>
      <c r="D79" s="17">
        <v>59662</v>
      </c>
      <c r="E79" s="13">
        <v>4.1666666666666666E-3</v>
      </c>
      <c r="F79" s="11">
        <v>9</v>
      </c>
      <c r="G79" s="11">
        <v>39</v>
      </c>
      <c r="H79" s="16">
        <v>0.432</v>
      </c>
      <c r="I79" s="16">
        <v>0</v>
      </c>
      <c r="J79" s="16">
        <v>1E-3</v>
      </c>
      <c r="K79" s="16">
        <v>1E-3</v>
      </c>
      <c r="L79" s="16">
        <v>1E-3</v>
      </c>
      <c r="M79" s="16">
        <v>0</v>
      </c>
      <c r="N79" s="16">
        <v>0.52</v>
      </c>
      <c r="O79" s="16">
        <v>3.2000000000000001E-2</v>
      </c>
      <c r="P79" s="16">
        <v>0.435</v>
      </c>
      <c r="R79" s="16">
        <v>1.0999999999999999E-2</v>
      </c>
      <c r="S79" s="16">
        <v>1E-3</v>
      </c>
      <c r="U79" s="11">
        <v>39</v>
      </c>
      <c r="W79" s="11">
        <v>285</v>
      </c>
      <c r="X79" s="11">
        <v>0</v>
      </c>
      <c r="Y79" s="11">
        <v>7</v>
      </c>
      <c r="AA79" s="11">
        <v>136</v>
      </c>
      <c r="AB79" s="16">
        <v>7.0000000000000001E-3</v>
      </c>
      <c r="AC79" s="16">
        <v>0.99299999999999999</v>
      </c>
      <c r="AD79" s="16">
        <v>2.9000000000000001E-2</v>
      </c>
      <c r="AE79" s="16">
        <v>0.85299999999999998</v>
      </c>
      <c r="AF79" s="16">
        <v>5.8999999999999997E-2</v>
      </c>
      <c r="AG79" s="16">
        <v>2.9000000000000001E-2</v>
      </c>
      <c r="AH79" s="16">
        <v>2.9000000000000001E-2</v>
      </c>
      <c r="AI79" s="16">
        <v>0</v>
      </c>
      <c r="AJ79" s="16">
        <v>0</v>
      </c>
      <c r="AK79" s="16">
        <v>1</v>
      </c>
      <c r="AL79" s="16">
        <v>0</v>
      </c>
    </row>
    <row r="80" spans="1:38" ht="20.100000000000001" customHeight="1" x14ac:dyDescent="0.15">
      <c r="A80" s="14">
        <v>45858</v>
      </c>
      <c r="B80" s="11" t="s">
        <v>209</v>
      </c>
      <c r="C80" s="17">
        <v>4183</v>
      </c>
      <c r="D80" s="17">
        <v>1941</v>
      </c>
      <c r="E80" s="13">
        <v>3.472222222222222E-3</v>
      </c>
      <c r="F80" s="11">
        <v>8</v>
      </c>
      <c r="G80" s="11">
        <v>1</v>
      </c>
      <c r="H80" s="16">
        <v>0.49299999999999999</v>
      </c>
      <c r="I80" s="16">
        <v>0</v>
      </c>
      <c r="J80" s="16">
        <v>1E-3</v>
      </c>
      <c r="K80" s="16">
        <v>1E-3</v>
      </c>
      <c r="L80" s="16">
        <v>0</v>
      </c>
      <c r="M80" s="16">
        <v>0</v>
      </c>
      <c r="N80" s="16">
        <v>0.30199999999999999</v>
      </c>
      <c r="O80" s="16">
        <v>0.13</v>
      </c>
      <c r="P80" s="16">
        <v>0.30099999999999999</v>
      </c>
      <c r="R80" s="16">
        <v>0.26400000000000001</v>
      </c>
      <c r="S80" s="16">
        <v>2E-3</v>
      </c>
      <c r="U80" s="11">
        <v>1</v>
      </c>
      <c r="W80" s="11">
        <v>27</v>
      </c>
      <c r="X80" s="11">
        <v>0</v>
      </c>
      <c r="Y80" s="11">
        <v>0</v>
      </c>
      <c r="AA80" s="11">
        <v>1</v>
      </c>
      <c r="AB80" s="16">
        <v>0.158</v>
      </c>
      <c r="AC80" s="16">
        <v>0.84199999999999997</v>
      </c>
      <c r="AD80" s="16">
        <v>0</v>
      </c>
      <c r="AE80" s="16">
        <v>0.9</v>
      </c>
      <c r="AF80" s="16">
        <v>0</v>
      </c>
      <c r="AG80" s="16">
        <v>6.7000000000000004E-2</v>
      </c>
      <c r="AH80" s="16">
        <v>3.3000000000000002E-2</v>
      </c>
      <c r="AI80" s="16">
        <v>0</v>
      </c>
      <c r="AJ80" s="16">
        <v>0</v>
      </c>
      <c r="AK80" s="16">
        <v>1</v>
      </c>
      <c r="AL80" s="16">
        <v>0</v>
      </c>
    </row>
    <row r="81" spans="1:38" ht="20.100000000000001" customHeight="1" x14ac:dyDescent="0.15">
      <c r="A81" s="14">
        <v>45857</v>
      </c>
      <c r="B81" s="11" t="s">
        <v>185</v>
      </c>
      <c r="C81" s="17">
        <v>9589</v>
      </c>
      <c r="D81" s="17">
        <v>4674</v>
      </c>
      <c r="E81" s="13">
        <v>3.472222222222222E-3</v>
      </c>
      <c r="F81" s="11">
        <v>7</v>
      </c>
      <c r="G81" s="11">
        <v>3</v>
      </c>
      <c r="H81" s="16">
        <v>0.495</v>
      </c>
      <c r="I81" s="16">
        <v>0</v>
      </c>
      <c r="J81" s="16">
        <v>1E-3</v>
      </c>
      <c r="K81" s="16">
        <v>1E-3</v>
      </c>
      <c r="L81" s="16">
        <v>0</v>
      </c>
      <c r="M81" s="16">
        <v>0</v>
      </c>
      <c r="N81" s="16">
        <v>0.4</v>
      </c>
      <c r="O81" s="16">
        <v>0.06</v>
      </c>
      <c r="P81" s="16">
        <v>0.41899999999999998</v>
      </c>
      <c r="R81" s="16">
        <v>0.11799999999999999</v>
      </c>
      <c r="S81" s="16">
        <v>1E-3</v>
      </c>
      <c r="U81" s="11">
        <v>3</v>
      </c>
      <c r="W81" s="11">
        <v>29</v>
      </c>
      <c r="X81" s="11">
        <v>0</v>
      </c>
      <c r="Y81" s="11">
        <v>0</v>
      </c>
      <c r="AA81" s="11">
        <v>9</v>
      </c>
      <c r="AB81" s="16">
        <v>7.2999999999999995E-2</v>
      </c>
      <c r="AC81" s="16">
        <v>0.92700000000000005</v>
      </c>
      <c r="AD81" s="16">
        <v>0</v>
      </c>
      <c r="AE81" s="16">
        <v>0.97</v>
      </c>
      <c r="AF81" s="16">
        <v>0</v>
      </c>
      <c r="AG81" s="16">
        <v>0</v>
      </c>
      <c r="AH81" s="16">
        <v>0.03</v>
      </c>
      <c r="AI81" s="16">
        <v>0</v>
      </c>
      <c r="AJ81" s="16">
        <v>0</v>
      </c>
      <c r="AK81" s="16">
        <v>1</v>
      </c>
      <c r="AL81" s="16">
        <v>0</v>
      </c>
    </row>
    <row r="82" spans="1:38" ht="20.100000000000001" customHeight="1" x14ac:dyDescent="0.15">
      <c r="A82" s="14">
        <v>45844</v>
      </c>
      <c r="B82" s="11" t="s">
        <v>210</v>
      </c>
      <c r="C82" s="17">
        <v>22617</v>
      </c>
      <c r="D82" s="17">
        <v>16006</v>
      </c>
      <c r="E82" s="13">
        <v>8.3333333333333332E-3</v>
      </c>
      <c r="F82" s="11">
        <v>9</v>
      </c>
      <c r="G82" s="11">
        <v>8</v>
      </c>
      <c r="H82" s="16">
        <v>0.48499999999999999</v>
      </c>
      <c r="I82" s="16">
        <v>0</v>
      </c>
      <c r="J82" s="16">
        <v>1E-3</v>
      </c>
      <c r="K82" s="16">
        <v>1E-3</v>
      </c>
      <c r="L82" s="16">
        <v>0</v>
      </c>
      <c r="M82" s="16">
        <v>0</v>
      </c>
      <c r="N82" s="16">
        <v>0.46200000000000002</v>
      </c>
      <c r="O82" s="16">
        <v>5.1999999999999998E-2</v>
      </c>
      <c r="P82" s="16">
        <v>0.443</v>
      </c>
      <c r="Q82" s="16">
        <v>2E-3</v>
      </c>
      <c r="R82" s="16">
        <v>3.2000000000000001E-2</v>
      </c>
      <c r="S82" s="16">
        <v>8.0000000000000002E-3</v>
      </c>
      <c r="U82" s="11">
        <v>8</v>
      </c>
      <c r="W82" s="11">
        <v>83</v>
      </c>
      <c r="X82" s="11">
        <v>0</v>
      </c>
      <c r="Y82" s="11">
        <v>0</v>
      </c>
      <c r="AA82" s="11">
        <v>26</v>
      </c>
      <c r="AB82" s="16">
        <v>2.1000000000000001E-2</v>
      </c>
      <c r="AC82" s="16">
        <v>0.97899999999999998</v>
      </c>
      <c r="AD82" s="16">
        <v>0</v>
      </c>
      <c r="AE82" s="16">
        <v>0.88900000000000001</v>
      </c>
      <c r="AF82" s="16">
        <v>0</v>
      </c>
      <c r="AG82" s="16">
        <v>7.3999999999999996E-2</v>
      </c>
      <c r="AH82" s="16">
        <v>3.6999999999999998E-2</v>
      </c>
      <c r="AI82" s="16">
        <v>0</v>
      </c>
      <c r="AJ82" s="16">
        <v>0</v>
      </c>
      <c r="AK82" s="16">
        <v>1</v>
      </c>
      <c r="AL82" s="16">
        <v>0</v>
      </c>
    </row>
    <row r="83" spans="1:38" ht="20.100000000000001" customHeight="1" x14ac:dyDescent="0.15">
      <c r="A83" s="14">
        <v>45841</v>
      </c>
      <c r="B83" s="11" t="s">
        <v>212</v>
      </c>
      <c r="C83" s="17">
        <v>1128</v>
      </c>
      <c r="D83" s="17">
        <v>920</v>
      </c>
      <c r="E83" s="11" t="s">
        <v>211</v>
      </c>
      <c r="F83" s="11">
        <v>4</v>
      </c>
      <c r="G83" s="11">
        <v>0</v>
      </c>
      <c r="H83" s="16">
        <v>0.72399999999999998</v>
      </c>
      <c r="I83" s="16">
        <v>0</v>
      </c>
      <c r="J83" s="16">
        <v>1E-3</v>
      </c>
      <c r="K83" s="16">
        <v>1E-3</v>
      </c>
      <c r="L83" s="16">
        <v>0</v>
      </c>
      <c r="M83" s="16">
        <v>0</v>
      </c>
      <c r="N83" s="16">
        <v>0.25800000000000001</v>
      </c>
      <c r="O83" s="16">
        <v>0.10299999999999999</v>
      </c>
      <c r="P83" s="16">
        <v>0.21</v>
      </c>
      <c r="R83" s="16">
        <v>0.42299999999999999</v>
      </c>
      <c r="S83" s="16">
        <v>1E-3</v>
      </c>
      <c r="U83" s="11">
        <v>0</v>
      </c>
      <c r="W83" s="11">
        <v>16</v>
      </c>
      <c r="X83" s="11">
        <v>0</v>
      </c>
      <c r="Y83" s="11">
        <v>0</v>
      </c>
      <c r="AA83" s="11">
        <v>1</v>
      </c>
      <c r="AB83" s="16">
        <v>0.17899999999999999</v>
      </c>
      <c r="AC83" s="16">
        <v>0.82099999999999995</v>
      </c>
      <c r="AD83" s="16">
        <v>0</v>
      </c>
      <c r="AE83" s="16">
        <v>0.92300000000000004</v>
      </c>
      <c r="AF83" s="16">
        <v>0</v>
      </c>
      <c r="AG83" s="16">
        <v>0</v>
      </c>
      <c r="AH83" s="16">
        <v>7.6999999999999999E-2</v>
      </c>
      <c r="AI83" s="16">
        <v>0</v>
      </c>
      <c r="AJ83" s="16">
        <v>0</v>
      </c>
      <c r="AK83" s="16">
        <v>1</v>
      </c>
      <c r="AL83" s="16">
        <v>0</v>
      </c>
    </row>
    <row r="84" spans="1:38" ht="20.100000000000001" customHeight="1" x14ac:dyDescent="0.15">
      <c r="A84" s="14">
        <v>45840</v>
      </c>
      <c r="B84" s="11" t="s">
        <v>213</v>
      </c>
      <c r="C84" s="17">
        <v>7226</v>
      </c>
      <c r="D84" s="17">
        <v>5719</v>
      </c>
      <c r="E84" s="13">
        <v>9.0277777777777769E-3</v>
      </c>
      <c r="F84" s="11">
        <v>7</v>
      </c>
      <c r="G84" s="11">
        <v>4</v>
      </c>
      <c r="H84" s="16">
        <v>0.48699999999999999</v>
      </c>
      <c r="I84" s="16">
        <v>0</v>
      </c>
      <c r="J84" s="16">
        <v>1E-3</v>
      </c>
      <c r="K84" s="16">
        <v>1E-3</v>
      </c>
      <c r="L84" s="16">
        <v>0</v>
      </c>
      <c r="M84" s="16">
        <v>0</v>
      </c>
      <c r="N84" s="16">
        <v>0.437</v>
      </c>
      <c r="O84" s="16">
        <v>6.7000000000000004E-2</v>
      </c>
      <c r="P84" s="16">
        <v>0.42499999999999999</v>
      </c>
      <c r="R84" s="16">
        <v>6.8000000000000005E-2</v>
      </c>
      <c r="S84" s="16">
        <v>2E-3</v>
      </c>
      <c r="U84" s="11">
        <v>4</v>
      </c>
      <c r="W84" s="11">
        <v>40</v>
      </c>
      <c r="X84" s="11">
        <v>0</v>
      </c>
      <c r="Y84" s="11">
        <v>0</v>
      </c>
      <c r="AA84" s="11">
        <v>21</v>
      </c>
      <c r="AB84" s="16">
        <v>6.7000000000000004E-2</v>
      </c>
      <c r="AC84" s="16">
        <v>0.93300000000000005</v>
      </c>
      <c r="AD84" s="16">
        <v>0</v>
      </c>
      <c r="AE84" s="16">
        <v>0.7</v>
      </c>
      <c r="AF84" s="16">
        <v>0</v>
      </c>
      <c r="AG84" s="16">
        <v>0</v>
      </c>
      <c r="AH84" s="16">
        <v>0.3</v>
      </c>
      <c r="AI84" s="16">
        <v>0</v>
      </c>
      <c r="AJ84" s="16">
        <v>0</v>
      </c>
      <c r="AK84" s="16">
        <v>1</v>
      </c>
      <c r="AL84" s="16">
        <v>0</v>
      </c>
    </row>
    <row r="85" spans="1:38" ht="20.100000000000001" customHeight="1" x14ac:dyDescent="0.15">
      <c r="A85" s="14">
        <v>45839</v>
      </c>
      <c r="B85" s="11" t="s">
        <v>214</v>
      </c>
      <c r="C85" s="17">
        <v>1348</v>
      </c>
      <c r="D85" s="17">
        <v>1031</v>
      </c>
      <c r="E85" s="13">
        <v>1.2500000000000001E-2</v>
      </c>
      <c r="F85" s="11">
        <v>6</v>
      </c>
      <c r="G85" s="11">
        <v>3</v>
      </c>
      <c r="H85" s="16">
        <v>0.61799999999999999</v>
      </c>
      <c r="I85" s="16">
        <v>0</v>
      </c>
      <c r="J85" s="16">
        <v>1E-3</v>
      </c>
      <c r="K85" s="16">
        <v>1E-3</v>
      </c>
      <c r="L85" s="16">
        <v>0</v>
      </c>
      <c r="M85" s="16">
        <v>0</v>
      </c>
      <c r="N85" s="16">
        <v>0.32700000000000001</v>
      </c>
      <c r="O85" s="16">
        <v>0.11899999999999999</v>
      </c>
      <c r="P85" s="16">
        <v>0.253</v>
      </c>
      <c r="R85" s="16">
        <v>0.32700000000000001</v>
      </c>
      <c r="S85" s="16">
        <v>1.2999999999999999E-2</v>
      </c>
      <c r="U85" s="11">
        <v>3</v>
      </c>
      <c r="W85" s="11">
        <v>30</v>
      </c>
      <c r="X85" s="11">
        <v>0</v>
      </c>
      <c r="Y85" s="11">
        <v>0</v>
      </c>
      <c r="AA85" s="11">
        <v>4</v>
      </c>
      <c r="AB85" s="16">
        <v>0.16600000000000001</v>
      </c>
      <c r="AC85" s="16">
        <v>0.83399999999999996</v>
      </c>
      <c r="AD85" s="16">
        <v>0</v>
      </c>
      <c r="AE85" s="16">
        <v>0.8</v>
      </c>
      <c r="AF85" s="16">
        <v>0</v>
      </c>
      <c r="AG85" s="16">
        <v>0</v>
      </c>
      <c r="AH85" s="16">
        <v>0.2</v>
      </c>
      <c r="AI85" s="16">
        <v>0</v>
      </c>
      <c r="AJ85" s="16">
        <v>0</v>
      </c>
      <c r="AK85" s="16">
        <v>1</v>
      </c>
      <c r="AL85" s="16">
        <v>0</v>
      </c>
    </row>
    <row r="86" spans="1:38" ht="20.100000000000001" customHeight="1" x14ac:dyDescent="0.15">
      <c r="A86" s="14">
        <v>45838</v>
      </c>
      <c r="B86" s="11" t="s">
        <v>215</v>
      </c>
      <c r="C86" s="17">
        <v>595</v>
      </c>
      <c r="D86" s="17">
        <v>513</v>
      </c>
      <c r="E86" s="13">
        <v>1.1111111111111112E-2</v>
      </c>
      <c r="F86" s="11">
        <v>6</v>
      </c>
      <c r="G86" s="11">
        <v>0</v>
      </c>
      <c r="H86" s="16">
        <v>0.67100000000000004</v>
      </c>
      <c r="I86" s="16">
        <v>0</v>
      </c>
      <c r="J86" s="16">
        <v>1E-3</v>
      </c>
      <c r="K86" s="16">
        <v>1E-3</v>
      </c>
      <c r="L86" s="16">
        <v>0</v>
      </c>
      <c r="M86" s="16">
        <v>0</v>
      </c>
      <c r="N86" s="16">
        <v>0.13700000000000001</v>
      </c>
      <c r="O86" s="16">
        <v>0.17899999999999999</v>
      </c>
      <c r="P86" s="16">
        <v>0.13700000000000001</v>
      </c>
      <c r="R86" s="16">
        <v>0.54100000000000004</v>
      </c>
      <c r="U86" s="11">
        <v>0</v>
      </c>
      <c r="W86" s="11">
        <v>17</v>
      </c>
      <c r="X86" s="11">
        <v>0</v>
      </c>
      <c r="Y86" s="11">
        <v>0</v>
      </c>
      <c r="AA86" s="11">
        <v>1</v>
      </c>
      <c r="AB86" s="16">
        <v>0.27300000000000002</v>
      </c>
      <c r="AC86" s="16">
        <v>0.72699999999999998</v>
      </c>
      <c r="AD86" s="16">
        <v>0</v>
      </c>
      <c r="AE86" s="16">
        <v>0.85699999999999998</v>
      </c>
      <c r="AF86" s="16">
        <v>0</v>
      </c>
      <c r="AG86" s="16">
        <v>0.14299999999999999</v>
      </c>
      <c r="AH86" s="16">
        <v>0</v>
      </c>
      <c r="AI86" s="16">
        <v>0</v>
      </c>
      <c r="AJ86" s="16">
        <v>0</v>
      </c>
      <c r="AK86" s="16">
        <v>1</v>
      </c>
      <c r="AL86" s="16">
        <v>0</v>
      </c>
    </row>
    <row r="87" spans="1:38" ht="20.100000000000001" customHeight="1" x14ac:dyDescent="0.15">
      <c r="A87" s="14">
        <v>45837</v>
      </c>
      <c r="B87" s="11" t="s">
        <v>216</v>
      </c>
      <c r="C87" s="17">
        <v>5377</v>
      </c>
      <c r="D87" s="17">
        <v>3684</v>
      </c>
      <c r="E87" s="13">
        <v>7.6388888888888886E-3</v>
      </c>
      <c r="F87" s="11">
        <v>8</v>
      </c>
      <c r="G87" s="11">
        <v>4</v>
      </c>
      <c r="H87" s="16">
        <v>0.46100000000000002</v>
      </c>
      <c r="I87" s="16">
        <v>0</v>
      </c>
      <c r="J87" s="16">
        <v>1E-3</v>
      </c>
      <c r="K87" s="16">
        <v>1E-3</v>
      </c>
      <c r="L87" s="16">
        <v>0</v>
      </c>
      <c r="M87" s="16">
        <v>0</v>
      </c>
      <c r="N87" s="16">
        <v>0.42599999999999999</v>
      </c>
      <c r="O87" s="16">
        <v>0.06</v>
      </c>
      <c r="P87" s="16">
        <v>0.43</v>
      </c>
      <c r="Q87" s="16">
        <v>7.0000000000000001E-3</v>
      </c>
      <c r="R87" s="16">
        <v>7.3999999999999996E-2</v>
      </c>
      <c r="S87" s="16">
        <v>1E-3</v>
      </c>
      <c r="U87" s="11">
        <v>4</v>
      </c>
      <c r="W87" s="11">
        <v>38</v>
      </c>
      <c r="X87" s="11">
        <v>0</v>
      </c>
      <c r="Y87" s="11">
        <v>0</v>
      </c>
      <c r="AA87" s="11">
        <v>6</v>
      </c>
      <c r="AB87" s="16">
        <v>8.2000000000000003E-2</v>
      </c>
      <c r="AC87" s="16">
        <v>0.91800000000000004</v>
      </c>
      <c r="AD87" s="16">
        <v>0</v>
      </c>
      <c r="AE87" s="16">
        <v>0.88900000000000001</v>
      </c>
      <c r="AF87" s="16">
        <v>0</v>
      </c>
      <c r="AG87" s="16">
        <v>0.111</v>
      </c>
      <c r="AH87" s="16">
        <v>0</v>
      </c>
      <c r="AI87" s="16">
        <v>0</v>
      </c>
      <c r="AJ87" s="16">
        <v>0</v>
      </c>
      <c r="AK87" s="16">
        <v>1</v>
      </c>
      <c r="AL87" s="16">
        <v>0</v>
      </c>
    </row>
    <row r="88" spans="1:38" ht="20.100000000000001" customHeight="1" x14ac:dyDescent="0.15">
      <c r="A88" s="14">
        <v>45834</v>
      </c>
      <c r="B88" s="11" t="s">
        <v>217</v>
      </c>
      <c r="C88" s="17">
        <v>4259</v>
      </c>
      <c r="D88" s="17">
        <v>2980</v>
      </c>
      <c r="E88" s="13">
        <v>9.7222222222222224E-3</v>
      </c>
      <c r="F88" s="11">
        <v>8</v>
      </c>
      <c r="G88" s="11">
        <v>4</v>
      </c>
      <c r="H88" s="16">
        <v>0.48899999999999999</v>
      </c>
      <c r="I88" s="16">
        <v>0</v>
      </c>
      <c r="J88" s="16">
        <v>1E-3</v>
      </c>
      <c r="K88" s="16">
        <v>1E-3</v>
      </c>
      <c r="L88" s="16">
        <v>0</v>
      </c>
      <c r="M88" s="16">
        <v>0</v>
      </c>
      <c r="N88" s="16">
        <v>0.443</v>
      </c>
      <c r="O88" s="16">
        <v>7.3999999999999996E-2</v>
      </c>
      <c r="P88" s="16">
        <v>0.39800000000000002</v>
      </c>
      <c r="R88" s="16">
        <v>8.3000000000000004E-2</v>
      </c>
      <c r="S88" s="16">
        <v>2E-3</v>
      </c>
      <c r="U88" s="11">
        <v>4</v>
      </c>
      <c r="W88" s="11">
        <v>39</v>
      </c>
      <c r="X88" s="11">
        <v>0</v>
      </c>
      <c r="Y88" s="11">
        <v>0</v>
      </c>
      <c r="AA88" s="11">
        <v>5</v>
      </c>
      <c r="AB88" s="16">
        <v>8.3000000000000004E-2</v>
      </c>
      <c r="AC88" s="16">
        <v>0.91700000000000004</v>
      </c>
      <c r="AD88" s="16">
        <v>0</v>
      </c>
      <c r="AE88" s="16">
        <v>0.88900000000000001</v>
      </c>
      <c r="AF88" s="16">
        <v>0.111</v>
      </c>
      <c r="AG88" s="16">
        <v>0</v>
      </c>
      <c r="AH88" s="16">
        <v>0</v>
      </c>
      <c r="AI88" s="16">
        <v>0</v>
      </c>
      <c r="AJ88" s="16">
        <v>0</v>
      </c>
      <c r="AK88" s="16">
        <v>1</v>
      </c>
      <c r="AL88" s="16">
        <v>0</v>
      </c>
    </row>
    <row r="89" spans="1:38" ht="20.100000000000001" customHeight="1" x14ac:dyDescent="0.15">
      <c r="A89" s="14">
        <v>45834</v>
      </c>
      <c r="B89" s="11" t="s">
        <v>218</v>
      </c>
      <c r="C89" s="17">
        <v>4700</v>
      </c>
      <c r="D89" s="17">
        <v>3299</v>
      </c>
      <c r="E89" s="13">
        <v>9.0277777777777769E-3</v>
      </c>
      <c r="F89" s="11">
        <v>7</v>
      </c>
      <c r="G89" s="11">
        <v>1</v>
      </c>
      <c r="H89" s="16">
        <v>0.55000000000000004</v>
      </c>
      <c r="I89" s="16">
        <v>0</v>
      </c>
      <c r="J89" s="16">
        <v>1E-3</v>
      </c>
      <c r="K89" s="16">
        <v>1E-3</v>
      </c>
      <c r="L89" s="16">
        <v>0</v>
      </c>
      <c r="M89" s="16">
        <v>0</v>
      </c>
      <c r="N89" s="16">
        <v>0.46300000000000002</v>
      </c>
      <c r="O89" s="16">
        <v>4.4999999999999998E-2</v>
      </c>
      <c r="P89" s="16">
        <v>0.42199999999999999</v>
      </c>
      <c r="R89" s="16">
        <v>6.5000000000000002E-2</v>
      </c>
      <c r="S89" s="16">
        <v>3.0000000000000001E-3</v>
      </c>
      <c r="U89" s="11">
        <v>1</v>
      </c>
      <c r="W89" s="11">
        <v>24</v>
      </c>
      <c r="X89" s="11">
        <v>0</v>
      </c>
      <c r="Y89" s="11">
        <v>0</v>
      </c>
      <c r="AA89" s="11">
        <v>3</v>
      </c>
      <c r="AB89" s="16">
        <v>0.06</v>
      </c>
      <c r="AC89" s="16">
        <v>0.94</v>
      </c>
      <c r="AD89" s="16">
        <v>0</v>
      </c>
      <c r="AE89" s="16">
        <v>0.90900000000000003</v>
      </c>
      <c r="AF89" s="16">
        <v>9.0999999999999998E-2</v>
      </c>
      <c r="AG89" s="16">
        <v>0</v>
      </c>
      <c r="AH89" s="16">
        <v>0</v>
      </c>
      <c r="AI89" s="16">
        <v>0</v>
      </c>
      <c r="AJ89" s="16">
        <v>0</v>
      </c>
      <c r="AK89" s="16">
        <v>1</v>
      </c>
      <c r="AL89" s="16">
        <v>0</v>
      </c>
    </row>
    <row r="90" spans="1:38" ht="20.100000000000001" customHeight="1" x14ac:dyDescent="0.15">
      <c r="A90" s="14">
        <v>45834</v>
      </c>
      <c r="B90" s="11" t="s">
        <v>219</v>
      </c>
      <c r="C90" s="17">
        <v>888</v>
      </c>
      <c r="D90" s="17">
        <v>686</v>
      </c>
      <c r="E90" s="13">
        <v>9.7222222222222224E-3</v>
      </c>
      <c r="F90" s="11">
        <v>4</v>
      </c>
      <c r="G90" s="11">
        <v>0</v>
      </c>
      <c r="H90" s="16">
        <v>0.69399999999999995</v>
      </c>
      <c r="I90" s="16">
        <v>0</v>
      </c>
      <c r="J90" s="16">
        <v>1E-3</v>
      </c>
      <c r="K90" s="16">
        <v>1E-3</v>
      </c>
      <c r="L90" s="16">
        <v>0</v>
      </c>
      <c r="M90" s="16">
        <v>0</v>
      </c>
      <c r="N90" s="16">
        <v>0.31900000000000001</v>
      </c>
      <c r="O90" s="16">
        <v>0.157</v>
      </c>
      <c r="P90" s="16">
        <v>0.22600000000000001</v>
      </c>
      <c r="R90" s="16">
        <v>0.28999999999999998</v>
      </c>
      <c r="U90" s="11">
        <v>0</v>
      </c>
      <c r="W90" s="11">
        <v>12</v>
      </c>
      <c r="X90" s="11">
        <v>0</v>
      </c>
      <c r="Y90" s="11">
        <v>0</v>
      </c>
      <c r="AA90" s="11">
        <v>2</v>
      </c>
      <c r="AB90" s="16">
        <v>0.222</v>
      </c>
      <c r="AC90" s="16">
        <v>0.77800000000000002</v>
      </c>
      <c r="AD90" s="16">
        <v>0</v>
      </c>
      <c r="AE90" s="16">
        <v>0.91</v>
      </c>
      <c r="AF90" s="16">
        <v>0.1</v>
      </c>
      <c r="AG90" s="16">
        <v>0</v>
      </c>
      <c r="AH90" s="16">
        <v>0</v>
      </c>
      <c r="AI90" s="16">
        <v>0</v>
      </c>
      <c r="AJ90" s="16">
        <v>0</v>
      </c>
      <c r="AK90" s="16">
        <v>1</v>
      </c>
      <c r="AL90" s="16">
        <v>0</v>
      </c>
    </row>
    <row r="91" spans="1:38" ht="20.100000000000001" customHeight="1" x14ac:dyDescent="0.15">
      <c r="A91" s="14">
        <v>45832</v>
      </c>
      <c r="B91" s="11" t="s">
        <v>220</v>
      </c>
      <c r="C91" s="17">
        <v>7641</v>
      </c>
      <c r="D91" s="17">
        <v>4853</v>
      </c>
      <c r="E91" s="13">
        <v>7.6388888888888886E-3</v>
      </c>
      <c r="F91" s="11">
        <v>9</v>
      </c>
      <c r="G91" s="11">
        <v>1</v>
      </c>
      <c r="H91" s="16">
        <v>0.54300000000000004</v>
      </c>
      <c r="I91" s="16">
        <v>0</v>
      </c>
      <c r="J91" s="16">
        <v>1E-3</v>
      </c>
      <c r="K91" s="16">
        <v>1E-3</v>
      </c>
      <c r="L91" s="16">
        <v>0</v>
      </c>
      <c r="M91" s="16">
        <v>0</v>
      </c>
      <c r="N91" s="16">
        <v>0.47699999999999998</v>
      </c>
      <c r="O91" s="16">
        <v>3.3000000000000002E-2</v>
      </c>
      <c r="P91" s="16">
        <v>0.438</v>
      </c>
      <c r="R91" s="16">
        <v>4.3999999999999997E-2</v>
      </c>
      <c r="S91" s="16">
        <v>1E-3</v>
      </c>
      <c r="U91" s="11">
        <v>1</v>
      </c>
      <c r="W91" s="11">
        <v>34</v>
      </c>
      <c r="X91" s="11">
        <v>0</v>
      </c>
      <c r="Y91" s="11">
        <v>0</v>
      </c>
      <c r="AA91" s="11">
        <v>5</v>
      </c>
      <c r="AB91" s="16">
        <v>4.3999999999999997E-2</v>
      </c>
      <c r="AC91" s="16">
        <v>0.95599999999999996</v>
      </c>
      <c r="AD91" s="16">
        <v>0</v>
      </c>
      <c r="AE91" s="16">
        <v>0.86699999999999999</v>
      </c>
      <c r="AF91" s="16">
        <v>6.7000000000000004E-2</v>
      </c>
      <c r="AG91" s="16">
        <v>6.7000000000000004E-2</v>
      </c>
      <c r="AH91" s="16">
        <v>0</v>
      </c>
      <c r="AI91" s="16">
        <v>0</v>
      </c>
      <c r="AJ91" s="16">
        <v>0</v>
      </c>
      <c r="AK91" s="16">
        <v>1</v>
      </c>
      <c r="AL91" s="16">
        <v>0</v>
      </c>
    </row>
    <row r="92" spans="1:38" ht="20.100000000000001" customHeight="1" x14ac:dyDescent="0.15">
      <c r="A92" s="14">
        <v>45832</v>
      </c>
      <c r="B92" s="11" t="s">
        <v>221</v>
      </c>
      <c r="C92" s="17">
        <v>5303</v>
      </c>
      <c r="D92" s="17">
        <v>3850</v>
      </c>
      <c r="E92" s="13">
        <v>9.0277777777777769E-3</v>
      </c>
      <c r="F92" s="11">
        <v>7</v>
      </c>
      <c r="G92" s="11">
        <v>1</v>
      </c>
      <c r="H92" s="16">
        <v>0.495</v>
      </c>
      <c r="I92" s="16">
        <v>0</v>
      </c>
      <c r="J92" s="16">
        <v>1E-3</v>
      </c>
      <c r="K92" s="16">
        <v>1E-3</v>
      </c>
      <c r="L92" s="16">
        <v>0</v>
      </c>
      <c r="M92" s="16">
        <v>0</v>
      </c>
      <c r="N92" s="16">
        <v>0.48</v>
      </c>
      <c r="O92" s="16">
        <v>5.2999999999999999E-2</v>
      </c>
      <c r="P92" s="16">
        <v>0.40899999999999997</v>
      </c>
      <c r="R92" s="16">
        <v>4.7E-2</v>
      </c>
      <c r="S92" s="16">
        <v>7.0000000000000001E-3</v>
      </c>
      <c r="U92" s="11">
        <v>1</v>
      </c>
      <c r="W92" s="11">
        <v>34</v>
      </c>
      <c r="X92" s="11">
        <v>0</v>
      </c>
      <c r="Y92" s="11">
        <v>0</v>
      </c>
      <c r="AA92" s="11">
        <v>6</v>
      </c>
      <c r="AB92" s="16">
        <v>6.5000000000000002E-2</v>
      </c>
      <c r="AC92" s="16">
        <v>0.93500000000000005</v>
      </c>
      <c r="AD92" s="16">
        <v>0</v>
      </c>
      <c r="AE92" s="16">
        <v>0.91700000000000004</v>
      </c>
      <c r="AF92" s="16">
        <v>8.3000000000000004E-2</v>
      </c>
      <c r="AG92" s="16">
        <v>0</v>
      </c>
      <c r="AH92" s="16">
        <v>0</v>
      </c>
      <c r="AI92" s="16">
        <v>0</v>
      </c>
      <c r="AJ92" s="16">
        <v>0</v>
      </c>
      <c r="AK92" s="16">
        <v>1</v>
      </c>
      <c r="AL92" s="16">
        <v>0</v>
      </c>
    </row>
    <row r="93" spans="1:38" ht="20.100000000000001" customHeight="1" x14ac:dyDescent="0.15">
      <c r="A93" s="14">
        <v>45831</v>
      </c>
      <c r="B93" s="11" t="s">
        <v>222</v>
      </c>
      <c r="C93" s="17">
        <v>6332</v>
      </c>
      <c r="D93" s="17">
        <v>4880</v>
      </c>
      <c r="E93" s="13">
        <v>1.1111111111111112E-2</v>
      </c>
      <c r="F93" s="11">
        <v>7</v>
      </c>
      <c r="G93" s="11">
        <v>1</v>
      </c>
      <c r="H93" s="16">
        <v>0.52500000000000002</v>
      </c>
      <c r="I93" s="16">
        <v>0</v>
      </c>
      <c r="J93" s="16">
        <v>1E-3</v>
      </c>
      <c r="K93" s="16">
        <v>1E-3</v>
      </c>
      <c r="L93" s="16">
        <v>0</v>
      </c>
      <c r="M93" s="16">
        <v>0</v>
      </c>
      <c r="N93" s="16">
        <v>0.46500000000000002</v>
      </c>
      <c r="O93" s="16">
        <v>4.2999999999999997E-2</v>
      </c>
      <c r="P93" s="16">
        <v>0.44400000000000001</v>
      </c>
      <c r="Q93" s="16">
        <v>7.0000000000000001E-3</v>
      </c>
      <c r="R93" s="16">
        <v>3.3000000000000002E-2</v>
      </c>
      <c r="S93" s="16">
        <v>4.0000000000000001E-3</v>
      </c>
      <c r="U93" s="11">
        <v>1</v>
      </c>
      <c r="W93" s="11">
        <v>36</v>
      </c>
      <c r="X93" s="11">
        <v>0</v>
      </c>
      <c r="Y93" s="11">
        <v>0</v>
      </c>
      <c r="AA93" s="11">
        <v>8</v>
      </c>
      <c r="AB93" s="16">
        <v>5.7000000000000002E-2</v>
      </c>
      <c r="AC93" s="16">
        <v>0.94299999999999995</v>
      </c>
      <c r="AD93" s="16">
        <v>0</v>
      </c>
      <c r="AE93" s="16">
        <v>0.94099999999999995</v>
      </c>
      <c r="AF93" s="16">
        <v>5.8999999999999997E-2</v>
      </c>
      <c r="AG93" s="16">
        <v>0</v>
      </c>
      <c r="AH93" s="16">
        <v>0</v>
      </c>
      <c r="AI93" s="16">
        <v>0</v>
      </c>
      <c r="AJ93" s="16">
        <v>0</v>
      </c>
      <c r="AK93" s="16">
        <v>1</v>
      </c>
      <c r="AL93" s="16">
        <v>0</v>
      </c>
    </row>
    <row r="94" spans="1:38" ht="20.100000000000001" customHeight="1" x14ac:dyDescent="0.15">
      <c r="A94" s="14">
        <v>45830</v>
      </c>
      <c r="B94" s="11" t="s">
        <v>223</v>
      </c>
      <c r="C94" s="17">
        <v>1659</v>
      </c>
      <c r="D94" s="17">
        <v>1316</v>
      </c>
      <c r="E94" s="13">
        <v>1.4583333333333334E-2</v>
      </c>
      <c r="F94" s="11">
        <v>7</v>
      </c>
      <c r="G94" s="11">
        <v>0</v>
      </c>
      <c r="H94" s="16">
        <v>0.54200000000000004</v>
      </c>
      <c r="I94" s="16">
        <v>0</v>
      </c>
      <c r="J94" s="16">
        <v>1E-3</v>
      </c>
      <c r="K94" s="16">
        <v>1E-3</v>
      </c>
      <c r="L94" s="16">
        <v>0</v>
      </c>
      <c r="M94" s="16">
        <v>0</v>
      </c>
      <c r="N94" s="16">
        <v>0.371</v>
      </c>
      <c r="O94" s="16">
        <v>0.16600000000000001</v>
      </c>
      <c r="P94" s="16">
        <v>0.33900000000000002</v>
      </c>
      <c r="R94" s="16">
        <v>0.114</v>
      </c>
      <c r="S94" s="16">
        <v>8.0000000000000002E-3</v>
      </c>
      <c r="U94" s="11">
        <v>0</v>
      </c>
      <c r="W94" s="11">
        <v>27</v>
      </c>
      <c r="X94" s="11">
        <v>0</v>
      </c>
      <c r="Y94" s="11">
        <v>0</v>
      </c>
      <c r="AA94" s="11">
        <v>3</v>
      </c>
      <c r="AB94" s="16">
        <v>0.19500000000000001</v>
      </c>
      <c r="AC94" s="16">
        <v>0.80500000000000005</v>
      </c>
      <c r="AD94" s="16">
        <v>0</v>
      </c>
      <c r="AE94" s="16">
        <v>0.93300000000000005</v>
      </c>
      <c r="AF94" s="16">
        <v>6.7000000000000004E-2</v>
      </c>
      <c r="AG94" s="16">
        <v>0</v>
      </c>
      <c r="AH94" s="16">
        <v>0</v>
      </c>
      <c r="AI94" s="16">
        <v>0</v>
      </c>
      <c r="AJ94" s="16">
        <v>0</v>
      </c>
      <c r="AK94" s="16">
        <v>1</v>
      </c>
      <c r="AL94" s="16">
        <v>0</v>
      </c>
    </row>
    <row r="95" spans="1:38" ht="20.100000000000001" customHeight="1" x14ac:dyDescent="0.15">
      <c r="A95" s="14">
        <v>45828</v>
      </c>
      <c r="B95" s="11" t="s">
        <v>224</v>
      </c>
      <c r="C95" s="17">
        <v>7686</v>
      </c>
      <c r="D95" s="17">
        <v>6112</v>
      </c>
      <c r="E95" s="13">
        <v>9.7222222222222224E-3</v>
      </c>
      <c r="F95" s="11">
        <v>6</v>
      </c>
      <c r="G95" s="11">
        <v>2</v>
      </c>
      <c r="H95" s="16">
        <v>0.496</v>
      </c>
      <c r="I95" s="16">
        <v>0</v>
      </c>
      <c r="J95" s="16">
        <v>1E-3</v>
      </c>
      <c r="K95" s="16">
        <v>1E-3</v>
      </c>
      <c r="L95" s="16">
        <v>0</v>
      </c>
      <c r="M95" s="16">
        <v>0</v>
      </c>
      <c r="N95" s="16">
        <v>0.432</v>
      </c>
      <c r="O95" s="16">
        <v>5.0999999999999997E-2</v>
      </c>
      <c r="P95" s="16">
        <v>0.47299999999999998</v>
      </c>
      <c r="Q95" s="16">
        <v>6.0000000000000001E-3</v>
      </c>
      <c r="R95" s="16">
        <v>3.5999999999999997E-2</v>
      </c>
      <c r="U95" s="11">
        <v>2</v>
      </c>
      <c r="W95" s="11">
        <v>25</v>
      </c>
      <c r="X95" s="11">
        <v>0</v>
      </c>
      <c r="Y95" s="11">
        <v>0</v>
      </c>
      <c r="AA95" s="11">
        <v>15</v>
      </c>
      <c r="AB95" s="16">
        <v>6.4000000000000001E-2</v>
      </c>
      <c r="AC95" s="16">
        <v>0.93600000000000005</v>
      </c>
      <c r="AD95" s="16">
        <v>0</v>
      </c>
      <c r="AE95" s="16">
        <v>0.9</v>
      </c>
      <c r="AF95" s="16">
        <v>0.1</v>
      </c>
      <c r="AG95" s="16">
        <v>0</v>
      </c>
      <c r="AH95" s="16">
        <v>0</v>
      </c>
      <c r="AI95" s="16">
        <v>0</v>
      </c>
      <c r="AJ95" s="16">
        <v>0</v>
      </c>
      <c r="AK95" s="16">
        <v>1</v>
      </c>
      <c r="AL95" s="16">
        <v>0</v>
      </c>
    </row>
  </sheetData>
  <mergeCells count="5">
    <mergeCell ref="A1:A2"/>
    <mergeCell ref="T1:AA1"/>
    <mergeCell ref="N1:R1"/>
    <mergeCell ref="AB1:AL1"/>
    <mergeCell ref="B1:M1"/>
  </mergeCells>
  <phoneticPr fontId="1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94AC8-6AAA-438F-963B-1277F80FDE7A}">
  <dimension ref="A1:W33"/>
  <sheetViews>
    <sheetView view="pageBreakPreview" zoomScale="90" zoomScaleNormal="100" zoomScaleSheetLayoutView="90" workbookViewId="0">
      <pane ySplit="1" topLeftCell="A2" activePane="bottomLeft" state="frozen"/>
      <selection pane="bottomLeft" sqref="A1:XFD2"/>
    </sheetView>
  </sheetViews>
  <sheetFormatPr defaultColWidth="8.875" defaultRowHeight="13.5" x14ac:dyDescent="0.15"/>
  <cols>
    <col min="1" max="1" width="9.5" style="14" bestFit="1" customWidth="1"/>
    <col min="2" max="2" width="6.375" style="17" bestFit="1" customWidth="1"/>
    <col min="3" max="3" width="8" style="17" bestFit="1" customWidth="1"/>
    <col min="4" max="4" width="12.875" style="11" customWidth="1"/>
    <col min="5" max="6" width="17" style="11" customWidth="1"/>
    <col min="7" max="7" width="13.375" style="11" customWidth="1"/>
    <col min="8" max="8" width="13.375" style="15" customWidth="1"/>
    <col min="9" max="9" width="12.75" style="11" customWidth="1"/>
    <col min="10" max="10" width="11.125" style="17" customWidth="1"/>
    <col min="11" max="13" width="7" style="11" customWidth="1"/>
    <col min="14" max="14" width="9.5" style="11" customWidth="1"/>
    <col min="15" max="15" width="5.875" style="11" bestFit="1" customWidth="1"/>
    <col min="16" max="16" width="4.75" style="11" bestFit="1" customWidth="1"/>
    <col min="17" max="17" width="5.375" style="11" bestFit="1" customWidth="1"/>
    <col min="18" max="18" width="9.625" style="11" bestFit="1" customWidth="1"/>
    <col min="19" max="19" width="11.75" style="11" customWidth="1"/>
    <col min="20" max="20" width="9" style="11" bestFit="1" customWidth="1"/>
    <col min="21" max="21" width="5.375" style="11" bestFit="1" customWidth="1"/>
    <col min="22" max="22" width="22.5" style="11" customWidth="1"/>
    <col min="23" max="23" width="4.125" style="11" bestFit="1" customWidth="1"/>
    <col min="24" max="16384" width="8.875" style="11"/>
  </cols>
  <sheetData>
    <row r="1" spans="1:23" s="35" customFormat="1" ht="23.25" customHeight="1" x14ac:dyDescent="0.15">
      <c r="A1" s="54" t="s">
        <v>225</v>
      </c>
      <c r="B1" s="56" t="s">
        <v>226</v>
      </c>
      <c r="C1" s="57"/>
      <c r="D1" s="57"/>
      <c r="E1" s="57"/>
      <c r="F1" s="57"/>
      <c r="G1" s="57"/>
      <c r="H1" s="57"/>
      <c r="I1" s="58"/>
      <c r="J1" s="56" t="s">
        <v>227</v>
      </c>
      <c r="K1" s="57"/>
      <c r="L1" s="57"/>
      <c r="M1" s="58"/>
      <c r="N1" s="59" t="s">
        <v>228</v>
      </c>
      <c r="O1" s="60"/>
      <c r="P1" s="60"/>
      <c r="Q1" s="61"/>
      <c r="R1" s="59" t="s">
        <v>229</v>
      </c>
      <c r="S1" s="60"/>
      <c r="T1" s="61"/>
      <c r="U1" s="52" t="s">
        <v>230</v>
      </c>
      <c r="V1" s="52" t="s">
        <v>231</v>
      </c>
      <c r="W1" s="52" t="s">
        <v>232</v>
      </c>
    </row>
    <row r="2" spans="1:23" s="35" customFormat="1" ht="23.25" customHeight="1" x14ac:dyDescent="0.15">
      <c r="A2" s="55"/>
      <c r="B2" s="36" t="s">
        <v>233</v>
      </c>
      <c r="C2" s="36" t="s">
        <v>234</v>
      </c>
      <c r="D2" s="37" t="s">
        <v>235</v>
      </c>
      <c r="E2" s="37" t="s">
        <v>236</v>
      </c>
      <c r="F2" s="38" t="s">
        <v>237</v>
      </c>
      <c r="G2" s="37" t="s">
        <v>238</v>
      </c>
      <c r="H2" s="37" t="s">
        <v>239</v>
      </c>
      <c r="I2" s="37" t="s">
        <v>240</v>
      </c>
      <c r="J2" s="36" t="s">
        <v>241</v>
      </c>
      <c r="K2" s="37" t="s">
        <v>242</v>
      </c>
      <c r="L2" s="37" t="s">
        <v>243</v>
      </c>
      <c r="M2" s="37" t="s">
        <v>244</v>
      </c>
      <c r="N2" s="37" t="s">
        <v>241</v>
      </c>
      <c r="O2" s="37" t="s">
        <v>242</v>
      </c>
      <c r="P2" s="37" t="s">
        <v>243</v>
      </c>
      <c r="Q2" s="37" t="s">
        <v>244</v>
      </c>
      <c r="R2" s="37" t="s">
        <v>245</v>
      </c>
      <c r="S2" s="37" t="s">
        <v>246</v>
      </c>
      <c r="T2" s="37" t="s">
        <v>247</v>
      </c>
      <c r="U2" s="53"/>
      <c r="V2" s="53"/>
      <c r="W2" s="53"/>
    </row>
    <row r="3" spans="1:23" ht="20.100000000000001" customHeight="1" x14ac:dyDescent="0.2">
      <c r="A3" s="23">
        <v>46113</v>
      </c>
      <c r="B3" s="24">
        <v>1863</v>
      </c>
      <c r="C3" s="24">
        <v>1129</v>
      </c>
      <c r="D3" s="25"/>
      <c r="E3" s="25"/>
      <c r="F3" s="25">
        <v>90</v>
      </c>
      <c r="G3" s="25">
        <v>14</v>
      </c>
      <c r="H3" s="29">
        <f>G3/F3</f>
        <v>0.15555555555555556</v>
      </c>
      <c r="I3" s="25">
        <v>2</v>
      </c>
      <c r="J3" s="24"/>
      <c r="K3" s="25"/>
      <c r="L3" s="25"/>
      <c r="M3" s="25"/>
      <c r="N3" s="25"/>
      <c r="O3" s="25"/>
      <c r="P3" s="25"/>
      <c r="Q3" s="25"/>
      <c r="R3" s="25">
        <v>282</v>
      </c>
      <c r="S3" s="25">
        <v>0</v>
      </c>
      <c r="T3" s="25">
        <v>0</v>
      </c>
      <c r="U3" s="25"/>
      <c r="V3" s="25"/>
      <c r="W3" s="25"/>
    </row>
    <row r="4" spans="1:23" ht="20.100000000000001" customHeight="1" x14ac:dyDescent="0.2">
      <c r="A4" s="23">
        <v>46114</v>
      </c>
      <c r="B4" s="24">
        <v>1173</v>
      </c>
      <c r="C4" s="24">
        <v>807</v>
      </c>
      <c r="D4" s="25"/>
      <c r="E4" s="25"/>
      <c r="F4" s="25">
        <v>90</v>
      </c>
      <c r="G4" s="25">
        <v>8</v>
      </c>
      <c r="H4" s="29">
        <f t="shared" ref="H4:H33" si="0">G4/F4</f>
        <v>8.8888888888888892E-2</v>
      </c>
      <c r="I4" s="25">
        <v>2</v>
      </c>
      <c r="J4" s="24"/>
      <c r="K4" s="25"/>
      <c r="L4" s="25"/>
      <c r="M4" s="25"/>
      <c r="N4" s="25"/>
      <c r="O4" s="25"/>
      <c r="P4" s="25"/>
      <c r="Q4" s="25"/>
      <c r="R4" s="25">
        <v>248</v>
      </c>
      <c r="S4" s="25">
        <v>2</v>
      </c>
      <c r="T4" s="25">
        <v>0</v>
      </c>
      <c r="U4" s="25"/>
      <c r="V4" s="25"/>
      <c r="W4" s="25"/>
    </row>
    <row r="5" spans="1:23" ht="20.100000000000001" customHeight="1" x14ac:dyDescent="0.2">
      <c r="A5" s="23">
        <v>46115</v>
      </c>
      <c r="B5" s="24">
        <v>1313</v>
      </c>
      <c r="C5" s="24">
        <v>1129</v>
      </c>
      <c r="D5" s="25"/>
      <c r="E5" s="25"/>
      <c r="F5" s="25">
        <v>90</v>
      </c>
      <c r="G5" s="25">
        <v>11</v>
      </c>
      <c r="H5" s="29">
        <f t="shared" si="0"/>
        <v>0.12222222222222222</v>
      </c>
      <c r="I5" s="25">
        <v>2</v>
      </c>
      <c r="J5" s="24"/>
      <c r="K5" s="25"/>
      <c r="L5" s="25"/>
      <c r="M5" s="25"/>
      <c r="N5" s="25"/>
      <c r="O5" s="25"/>
      <c r="P5" s="25"/>
      <c r="Q5" s="25"/>
      <c r="R5" s="25">
        <v>206</v>
      </c>
      <c r="S5" s="25">
        <v>2</v>
      </c>
      <c r="T5" s="25">
        <v>0</v>
      </c>
      <c r="U5" s="25"/>
      <c r="V5" s="25"/>
      <c r="W5" s="25"/>
    </row>
    <row r="6" spans="1:23" ht="20.100000000000001" customHeight="1" x14ac:dyDescent="0.2">
      <c r="A6" s="23">
        <v>46116</v>
      </c>
      <c r="B6" s="24">
        <v>2277</v>
      </c>
      <c r="C6" s="24">
        <v>1392</v>
      </c>
      <c r="D6" s="25"/>
      <c r="E6" s="25"/>
      <c r="F6" s="25">
        <v>90</v>
      </c>
      <c r="G6" s="25">
        <v>6</v>
      </c>
      <c r="H6" s="29">
        <f t="shared" si="0"/>
        <v>6.6666666666666666E-2</v>
      </c>
      <c r="I6" s="25">
        <v>3</v>
      </c>
      <c r="J6" s="24"/>
      <c r="K6" s="25"/>
      <c r="L6" s="25"/>
      <c r="M6" s="25"/>
      <c r="N6" s="25"/>
      <c r="O6" s="25"/>
      <c r="P6" s="25"/>
      <c r="Q6" s="25"/>
      <c r="R6" s="25">
        <v>178</v>
      </c>
      <c r="S6" s="25">
        <v>1</v>
      </c>
      <c r="T6" s="25">
        <v>0</v>
      </c>
      <c r="U6" s="25"/>
      <c r="V6" s="25"/>
      <c r="W6" s="25"/>
    </row>
    <row r="7" spans="1:23" ht="20.100000000000001" customHeight="1" x14ac:dyDescent="0.2">
      <c r="A7" s="23">
        <v>46117</v>
      </c>
      <c r="B7" s="24">
        <v>3211</v>
      </c>
      <c r="C7" s="24">
        <v>1320</v>
      </c>
      <c r="D7" s="25"/>
      <c r="E7" s="25"/>
      <c r="F7" s="25">
        <v>90</v>
      </c>
      <c r="G7" s="25">
        <v>5</v>
      </c>
      <c r="H7" s="29">
        <f t="shared" si="0"/>
        <v>5.5555555555555552E-2</v>
      </c>
      <c r="I7" s="25">
        <v>20</v>
      </c>
      <c r="J7" s="24"/>
      <c r="K7" s="25"/>
      <c r="L7" s="25"/>
      <c r="M7" s="25"/>
      <c r="N7" s="25"/>
      <c r="O7" s="25"/>
      <c r="P7" s="25"/>
      <c r="Q7" s="25"/>
      <c r="R7" s="25">
        <v>191</v>
      </c>
      <c r="S7" s="25">
        <v>2</v>
      </c>
      <c r="T7" s="25">
        <v>0</v>
      </c>
      <c r="U7" s="25"/>
      <c r="V7" s="25"/>
      <c r="W7" s="25"/>
    </row>
    <row r="8" spans="1:23" ht="20.100000000000001" customHeight="1" x14ac:dyDescent="0.2">
      <c r="A8" s="23">
        <v>46118</v>
      </c>
      <c r="B8" s="24">
        <v>3474</v>
      </c>
      <c r="C8" s="24">
        <v>1630</v>
      </c>
      <c r="D8" s="25"/>
      <c r="E8" s="25"/>
      <c r="F8" s="25">
        <v>90</v>
      </c>
      <c r="G8" s="25">
        <v>18</v>
      </c>
      <c r="H8" s="29">
        <f t="shared" si="0"/>
        <v>0.2</v>
      </c>
      <c r="I8" s="25">
        <v>29</v>
      </c>
      <c r="J8" s="24"/>
      <c r="K8" s="25"/>
      <c r="L8" s="25"/>
      <c r="M8" s="25"/>
      <c r="N8" s="25"/>
      <c r="O8" s="25"/>
      <c r="P8" s="25"/>
      <c r="Q8" s="25"/>
      <c r="R8" s="25">
        <v>287</v>
      </c>
      <c r="S8" s="25">
        <v>7</v>
      </c>
      <c r="T8" s="25">
        <v>0</v>
      </c>
      <c r="U8" s="25"/>
      <c r="V8" s="25"/>
      <c r="W8" s="25"/>
    </row>
    <row r="9" spans="1:23" ht="20.100000000000001" customHeight="1" x14ac:dyDescent="0.2">
      <c r="A9" s="23">
        <v>46119</v>
      </c>
      <c r="B9" s="24">
        <v>4172</v>
      </c>
      <c r="C9" s="24">
        <v>1770</v>
      </c>
      <c r="D9" s="25"/>
      <c r="E9" s="25"/>
      <c r="F9" s="25">
        <v>120</v>
      </c>
      <c r="G9" s="25">
        <v>11</v>
      </c>
      <c r="H9" s="29">
        <f t="shared" si="0"/>
        <v>9.166666666666666E-2</v>
      </c>
      <c r="I9" s="25">
        <v>46</v>
      </c>
      <c r="J9" s="24"/>
      <c r="K9" s="25"/>
      <c r="L9" s="25"/>
      <c r="M9" s="25"/>
      <c r="N9" s="25"/>
      <c r="O9" s="25"/>
      <c r="P9" s="25"/>
      <c r="Q9" s="25"/>
      <c r="R9" s="25">
        <v>367</v>
      </c>
      <c r="S9" s="25">
        <v>7</v>
      </c>
      <c r="T9" s="25">
        <v>0</v>
      </c>
      <c r="U9" s="25"/>
      <c r="V9" s="25"/>
      <c r="W9" s="25"/>
    </row>
    <row r="10" spans="1:23" ht="20.100000000000001" customHeight="1" x14ac:dyDescent="0.2">
      <c r="A10" s="23">
        <v>46120</v>
      </c>
      <c r="B10" s="24">
        <v>4596</v>
      </c>
      <c r="C10" s="24">
        <v>1131</v>
      </c>
      <c r="D10" s="25"/>
      <c r="E10" s="25"/>
      <c r="F10" s="25">
        <v>120</v>
      </c>
      <c r="G10" s="25">
        <v>11</v>
      </c>
      <c r="H10" s="29">
        <f t="shared" si="0"/>
        <v>9.166666666666666E-2</v>
      </c>
      <c r="I10" s="25">
        <v>44</v>
      </c>
      <c r="J10" s="24"/>
      <c r="K10" s="25"/>
      <c r="L10" s="25"/>
      <c r="M10" s="25"/>
      <c r="N10" s="25"/>
      <c r="O10" s="25"/>
      <c r="P10" s="25"/>
      <c r="Q10" s="25"/>
      <c r="R10" s="25">
        <v>365</v>
      </c>
      <c r="S10" s="25">
        <v>3</v>
      </c>
      <c r="T10" s="25">
        <v>0</v>
      </c>
      <c r="U10" s="25"/>
      <c r="V10" s="25"/>
      <c r="W10" s="25"/>
    </row>
    <row r="11" spans="1:23" ht="20.100000000000001" customHeight="1" x14ac:dyDescent="0.2">
      <c r="A11" s="23">
        <v>46121</v>
      </c>
      <c r="B11" s="24">
        <v>3093</v>
      </c>
      <c r="C11" s="24">
        <v>791</v>
      </c>
      <c r="D11" s="25"/>
      <c r="E11" s="25"/>
      <c r="F11" s="25">
        <v>120</v>
      </c>
      <c r="G11" s="25">
        <v>18</v>
      </c>
      <c r="H11" s="29">
        <f t="shared" si="0"/>
        <v>0.15</v>
      </c>
      <c r="I11" s="25">
        <v>14</v>
      </c>
      <c r="J11" s="24"/>
      <c r="K11" s="25"/>
      <c r="L11" s="25"/>
      <c r="M11" s="25"/>
      <c r="N11" s="25"/>
      <c r="O11" s="25"/>
      <c r="P11" s="25"/>
      <c r="Q11" s="25"/>
      <c r="R11" s="25">
        <v>369</v>
      </c>
      <c r="S11" s="25">
        <v>3</v>
      </c>
      <c r="T11" s="25">
        <v>0</v>
      </c>
      <c r="U11" s="25"/>
      <c r="V11" s="25"/>
      <c r="W11" s="25"/>
    </row>
    <row r="12" spans="1:23" ht="20.100000000000001" customHeight="1" x14ac:dyDescent="0.2">
      <c r="A12" s="23">
        <v>46122</v>
      </c>
      <c r="B12" s="24">
        <v>1826</v>
      </c>
      <c r="C12" s="24">
        <v>1556</v>
      </c>
      <c r="D12" s="25"/>
      <c r="E12" s="25"/>
      <c r="F12" s="25">
        <v>120</v>
      </c>
      <c r="G12" s="25">
        <v>7</v>
      </c>
      <c r="H12" s="29">
        <f t="shared" si="0"/>
        <v>5.8333333333333334E-2</v>
      </c>
      <c r="I12" s="25">
        <v>9</v>
      </c>
      <c r="J12" s="24"/>
      <c r="K12" s="25"/>
      <c r="L12" s="25"/>
      <c r="M12" s="25"/>
      <c r="N12" s="25"/>
      <c r="O12" s="25"/>
      <c r="P12" s="25"/>
      <c r="Q12" s="25"/>
      <c r="R12" s="25">
        <v>300</v>
      </c>
      <c r="S12" s="25">
        <v>3</v>
      </c>
      <c r="T12" s="25">
        <v>0</v>
      </c>
      <c r="U12" s="25"/>
      <c r="V12" s="25"/>
      <c r="W12" s="25"/>
    </row>
    <row r="13" spans="1:23" ht="20.100000000000001" customHeight="1" x14ac:dyDescent="0.2">
      <c r="A13" s="23">
        <v>46123</v>
      </c>
      <c r="B13" s="24">
        <v>3005</v>
      </c>
      <c r="C13" s="24">
        <v>2528</v>
      </c>
      <c r="D13" s="25"/>
      <c r="E13" s="25"/>
      <c r="F13" s="25">
        <v>120</v>
      </c>
      <c r="G13" s="25">
        <v>19</v>
      </c>
      <c r="H13" s="29">
        <f t="shared" si="0"/>
        <v>0.15833333333333333</v>
      </c>
      <c r="I13" s="25">
        <v>31</v>
      </c>
      <c r="J13" s="24"/>
      <c r="K13" s="25"/>
      <c r="L13" s="25"/>
      <c r="M13" s="25"/>
      <c r="N13" s="25"/>
      <c r="O13" s="25"/>
      <c r="P13" s="25"/>
      <c r="Q13" s="25"/>
      <c r="R13" s="25">
        <v>292</v>
      </c>
      <c r="S13" s="25">
        <v>4</v>
      </c>
      <c r="T13" s="25">
        <v>0</v>
      </c>
      <c r="U13" s="25"/>
      <c r="V13" s="25"/>
      <c r="W13" s="25"/>
    </row>
    <row r="14" spans="1:23" ht="20.100000000000001" customHeight="1" x14ac:dyDescent="0.2">
      <c r="A14" s="23">
        <v>46124</v>
      </c>
      <c r="B14" s="24">
        <v>4938</v>
      </c>
      <c r="C14" s="24">
        <v>2036</v>
      </c>
      <c r="D14" s="25"/>
      <c r="E14" s="25"/>
      <c r="F14" s="25">
        <v>120</v>
      </c>
      <c r="G14" s="25">
        <v>17</v>
      </c>
      <c r="H14" s="29">
        <f t="shared" si="0"/>
        <v>0.14166666666666666</v>
      </c>
      <c r="I14" s="25">
        <v>36</v>
      </c>
      <c r="J14" s="24"/>
      <c r="K14" s="25"/>
      <c r="L14" s="25"/>
      <c r="M14" s="25"/>
      <c r="N14" s="25"/>
      <c r="O14" s="25"/>
      <c r="P14" s="25"/>
      <c r="Q14" s="25"/>
      <c r="R14" s="25">
        <v>374</v>
      </c>
      <c r="S14" s="25">
        <v>4</v>
      </c>
      <c r="T14" s="25">
        <v>0</v>
      </c>
      <c r="U14" s="25"/>
      <c r="V14" s="25"/>
      <c r="W14" s="25"/>
    </row>
    <row r="15" spans="1:23" ht="20.100000000000001" customHeight="1" x14ac:dyDescent="0.2">
      <c r="A15" s="23">
        <v>46125</v>
      </c>
      <c r="B15" s="24">
        <v>4432</v>
      </c>
      <c r="C15" s="24">
        <v>1280</v>
      </c>
      <c r="D15" s="25"/>
      <c r="E15" s="25"/>
      <c r="F15" s="25">
        <v>120</v>
      </c>
      <c r="G15" s="25">
        <v>13</v>
      </c>
      <c r="H15" s="29">
        <f t="shared" si="0"/>
        <v>0.10833333333333334</v>
      </c>
      <c r="I15" s="25">
        <v>21</v>
      </c>
      <c r="J15" s="24"/>
      <c r="K15" s="25"/>
      <c r="L15" s="25"/>
      <c r="M15" s="25"/>
      <c r="N15" s="25"/>
      <c r="O15" s="25"/>
      <c r="P15" s="25"/>
      <c r="Q15" s="25"/>
      <c r="R15" s="25">
        <v>347</v>
      </c>
      <c r="S15" s="25">
        <v>1</v>
      </c>
      <c r="T15" s="25">
        <v>0</v>
      </c>
      <c r="U15" s="25"/>
      <c r="V15" s="25"/>
      <c r="W15" s="25"/>
    </row>
    <row r="16" spans="1:23" ht="20.100000000000001" customHeight="1" x14ac:dyDescent="0.2">
      <c r="A16" s="23">
        <v>46126</v>
      </c>
      <c r="B16" s="24">
        <v>3006</v>
      </c>
      <c r="C16" s="24">
        <v>964</v>
      </c>
      <c r="D16" s="25"/>
      <c r="E16" s="25"/>
      <c r="F16" s="25">
        <v>120</v>
      </c>
      <c r="G16" s="25">
        <v>12</v>
      </c>
      <c r="H16" s="29">
        <f t="shared" si="0"/>
        <v>0.1</v>
      </c>
      <c r="I16" s="25">
        <v>20</v>
      </c>
      <c r="J16" s="24"/>
      <c r="K16" s="25"/>
      <c r="L16" s="25"/>
      <c r="M16" s="25"/>
      <c r="N16" s="25"/>
      <c r="O16" s="25"/>
      <c r="P16" s="25"/>
      <c r="Q16" s="25"/>
      <c r="R16" s="25">
        <v>328</v>
      </c>
      <c r="S16" s="25">
        <v>2</v>
      </c>
      <c r="T16" s="25">
        <v>0</v>
      </c>
      <c r="U16" s="25"/>
      <c r="V16" s="25"/>
      <c r="W16" s="25"/>
    </row>
    <row r="17" spans="1:23" ht="20.100000000000001" customHeight="1" x14ac:dyDescent="0.2">
      <c r="A17" s="23">
        <v>46127</v>
      </c>
      <c r="B17" s="24">
        <v>2066</v>
      </c>
      <c r="C17" s="24">
        <v>795</v>
      </c>
      <c r="D17" s="25"/>
      <c r="E17" s="25"/>
      <c r="F17" s="25">
        <v>120</v>
      </c>
      <c r="G17" s="25">
        <v>22</v>
      </c>
      <c r="H17" s="29">
        <f t="shared" si="0"/>
        <v>0.18333333333333332</v>
      </c>
      <c r="I17" s="25">
        <v>13</v>
      </c>
      <c r="J17" s="24"/>
      <c r="K17" s="25"/>
      <c r="L17" s="25"/>
      <c r="M17" s="25"/>
      <c r="N17" s="25"/>
      <c r="O17" s="25"/>
      <c r="P17" s="25"/>
      <c r="Q17" s="25"/>
      <c r="R17" s="25">
        <v>363</v>
      </c>
      <c r="S17" s="25">
        <v>5</v>
      </c>
      <c r="T17" s="25">
        <v>0</v>
      </c>
      <c r="U17" s="25"/>
      <c r="V17" s="25"/>
      <c r="W17" s="25"/>
    </row>
    <row r="18" spans="1:23" ht="20.100000000000001" customHeight="1" x14ac:dyDescent="0.2">
      <c r="A18" s="23">
        <v>46128</v>
      </c>
      <c r="B18" s="24">
        <v>1925</v>
      </c>
      <c r="C18" s="24">
        <v>947</v>
      </c>
      <c r="D18" s="25"/>
      <c r="E18" s="25"/>
      <c r="F18" s="25">
        <v>120</v>
      </c>
      <c r="G18" s="25">
        <v>16</v>
      </c>
      <c r="H18" s="29">
        <f t="shared" si="0"/>
        <v>0.13333333333333333</v>
      </c>
      <c r="I18" s="25">
        <v>7</v>
      </c>
      <c r="J18" s="24"/>
      <c r="K18" s="25"/>
      <c r="L18" s="25"/>
      <c r="M18" s="25"/>
      <c r="N18" s="25"/>
      <c r="O18" s="25"/>
      <c r="P18" s="25"/>
      <c r="Q18" s="25"/>
      <c r="R18" s="25">
        <v>343</v>
      </c>
      <c r="S18" s="25">
        <v>5</v>
      </c>
      <c r="T18" s="25">
        <v>0</v>
      </c>
      <c r="U18" s="25"/>
      <c r="V18" s="25"/>
      <c r="W18" s="25"/>
    </row>
    <row r="19" spans="1:23" ht="20.100000000000001" customHeight="1" x14ac:dyDescent="0.2">
      <c r="A19" s="23">
        <v>46129</v>
      </c>
      <c r="B19" s="24">
        <v>2308</v>
      </c>
      <c r="C19" s="24">
        <v>906</v>
      </c>
      <c r="D19" s="25"/>
      <c r="E19" s="25"/>
      <c r="F19" s="25">
        <v>120</v>
      </c>
      <c r="G19" s="25">
        <v>24</v>
      </c>
      <c r="H19" s="29">
        <f t="shared" si="0"/>
        <v>0.2</v>
      </c>
      <c r="I19" s="25">
        <v>17</v>
      </c>
      <c r="J19" s="24"/>
      <c r="K19" s="25"/>
      <c r="L19" s="25"/>
      <c r="M19" s="25"/>
      <c r="N19" s="25"/>
      <c r="O19" s="25"/>
      <c r="P19" s="25"/>
      <c r="Q19" s="25"/>
      <c r="R19" s="25">
        <v>348</v>
      </c>
      <c r="S19" s="25">
        <v>4</v>
      </c>
      <c r="T19" s="25">
        <v>0</v>
      </c>
      <c r="U19" s="25"/>
      <c r="V19" s="25"/>
      <c r="W19" s="25"/>
    </row>
    <row r="20" spans="1:23" ht="20.100000000000001" customHeight="1" x14ac:dyDescent="0.2">
      <c r="A20" s="23">
        <v>46130</v>
      </c>
      <c r="B20" s="24">
        <v>2172</v>
      </c>
      <c r="C20" s="24">
        <v>822</v>
      </c>
      <c r="D20" s="25"/>
      <c r="E20" s="25"/>
      <c r="F20" s="25">
        <v>120</v>
      </c>
      <c r="G20" s="25">
        <v>13</v>
      </c>
      <c r="H20" s="29">
        <f t="shared" si="0"/>
        <v>0.10833333333333334</v>
      </c>
      <c r="I20" s="25">
        <v>15</v>
      </c>
      <c r="J20" s="24"/>
      <c r="K20" s="25"/>
      <c r="L20" s="25"/>
      <c r="M20" s="25"/>
      <c r="N20" s="25"/>
      <c r="O20" s="25"/>
      <c r="P20" s="25"/>
      <c r="Q20" s="25"/>
      <c r="R20" s="25">
        <v>341</v>
      </c>
      <c r="S20" s="25">
        <v>2</v>
      </c>
      <c r="T20" s="25">
        <v>0</v>
      </c>
      <c r="U20" s="25"/>
      <c r="V20" s="25"/>
      <c r="W20" s="25"/>
    </row>
    <row r="21" spans="1:23" ht="20.100000000000001" customHeight="1" x14ac:dyDescent="0.2">
      <c r="A21" s="23">
        <v>46131</v>
      </c>
      <c r="B21" s="24">
        <v>2060</v>
      </c>
      <c r="C21" s="24">
        <v>858</v>
      </c>
      <c r="D21" s="25"/>
      <c r="E21" s="25"/>
      <c r="F21" s="25">
        <v>120</v>
      </c>
      <c r="G21" s="25">
        <v>8</v>
      </c>
      <c r="H21" s="29">
        <f t="shared" si="0"/>
        <v>6.6666666666666666E-2</v>
      </c>
      <c r="I21" s="25">
        <v>2</v>
      </c>
      <c r="J21" s="24"/>
      <c r="K21" s="25"/>
      <c r="L21" s="25"/>
      <c r="M21" s="25"/>
      <c r="N21" s="25"/>
      <c r="O21" s="25"/>
      <c r="P21" s="25"/>
      <c r="Q21" s="25"/>
      <c r="R21" s="25">
        <v>301</v>
      </c>
      <c r="S21" s="25">
        <v>8</v>
      </c>
      <c r="T21" s="25">
        <v>0</v>
      </c>
      <c r="U21" s="25"/>
      <c r="V21" s="25"/>
      <c r="W21" s="25"/>
    </row>
    <row r="22" spans="1:23" ht="20.100000000000001" customHeight="1" x14ac:dyDescent="0.2">
      <c r="A22" s="23">
        <v>46132</v>
      </c>
      <c r="B22" s="24">
        <v>1866</v>
      </c>
      <c r="C22" s="24">
        <v>1115</v>
      </c>
      <c r="D22" s="25"/>
      <c r="E22" s="25"/>
      <c r="F22" s="25">
        <v>120</v>
      </c>
      <c r="G22" s="25">
        <v>6</v>
      </c>
      <c r="H22" s="29">
        <f t="shared" si="0"/>
        <v>0.05</v>
      </c>
      <c r="I22" s="25">
        <v>2</v>
      </c>
      <c r="J22" s="24"/>
      <c r="K22" s="25"/>
      <c r="L22" s="25"/>
      <c r="M22" s="25"/>
      <c r="N22" s="25"/>
      <c r="O22" s="25"/>
      <c r="P22" s="25"/>
      <c r="Q22" s="25"/>
      <c r="R22" s="25">
        <v>316</v>
      </c>
      <c r="S22" s="25">
        <v>9</v>
      </c>
      <c r="T22" s="25">
        <v>0</v>
      </c>
      <c r="U22" s="25"/>
      <c r="V22" s="25"/>
      <c r="W22" s="25"/>
    </row>
    <row r="23" spans="1:23" ht="20.100000000000001" customHeight="1" x14ac:dyDescent="0.2">
      <c r="A23" s="23">
        <v>46133</v>
      </c>
      <c r="B23" s="24">
        <v>2013</v>
      </c>
      <c r="C23" s="24">
        <v>1318</v>
      </c>
      <c r="D23" s="25"/>
      <c r="E23" s="25"/>
      <c r="F23" s="25">
        <v>120</v>
      </c>
      <c r="G23" s="25">
        <v>14</v>
      </c>
      <c r="H23" s="29">
        <f t="shared" si="0"/>
        <v>0.11666666666666667</v>
      </c>
      <c r="I23" s="25">
        <v>1</v>
      </c>
      <c r="J23" s="24"/>
      <c r="K23" s="25"/>
      <c r="L23" s="25"/>
      <c r="M23" s="25"/>
      <c r="N23" s="25"/>
      <c r="O23" s="25"/>
      <c r="P23" s="25"/>
      <c r="Q23" s="25"/>
      <c r="R23" s="25">
        <v>298</v>
      </c>
      <c r="S23" s="25">
        <v>6</v>
      </c>
      <c r="T23" s="25">
        <v>0</v>
      </c>
      <c r="U23" s="25"/>
      <c r="V23" s="25"/>
      <c r="W23" s="25"/>
    </row>
    <row r="24" spans="1:23" ht="20.100000000000001" customHeight="1" x14ac:dyDescent="0.2">
      <c r="A24" s="23">
        <v>46134</v>
      </c>
      <c r="B24" s="24">
        <v>3182</v>
      </c>
      <c r="C24" s="24">
        <v>992</v>
      </c>
      <c r="D24" s="25"/>
      <c r="E24" s="25"/>
      <c r="F24" s="25">
        <v>120</v>
      </c>
      <c r="G24" s="25">
        <v>15</v>
      </c>
      <c r="H24" s="29">
        <f t="shared" si="0"/>
        <v>0.125</v>
      </c>
      <c r="I24" s="25">
        <v>31</v>
      </c>
      <c r="J24" s="24"/>
      <c r="K24" s="25"/>
      <c r="L24" s="25"/>
      <c r="M24" s="25"/>
      <c r="N24" s="25"/>
      <c r="O24" s="25"/>
      <c r="P24" s="25"/>
      <c r="Q24" s="25"/>
      <c r="R24" s="25">
        <v>308</v>
      </c>
      <c r="S24" s="25">
        <v>6</v>
      </c>
      <c r="T24" s="25">
        <v>0</v>
      </c>
      <c r="U24" s="25"/>
      <c r="V24" s="25"/>
      <c r="W24" s="25"/>
    </row>
    <row r="25" spans="1:23" ht="20.100000000000001" customHeight="1" x14ac:dyDescent="0.2">
      <c r="A25" s="23">
        <v>46135</v>
      </c>
      <c r="B25" s="24">
        <v>2669</v>
      </c>
      <c r="C25" s="24">
        <v>740</v>
      </c>
      <c r="D25" s="25"/>
      <c r="E25" s="25"/>
      <c r="F25" s="25">
        <v>120</v>
      </c>
      <c r="G25" s="25">
        <v>16</v>
      </c>
      <c r="H25" s="29">
        <f t="shared" si="0"/>
        <v>0.13333333333333333</v>
      </c>
      <c r="I25" s="25">
        <v>43</v>
      </c>
      <c r="J25" s="24"/>
      <c r="K25" s="25"/>
      <c r="L25" s="25"/>
      <c r="M25" s="25"/>
      <c r="N25" s="25"/>
      <c r="O25" s="25"/>
      <c r="P25" s="25"/>
      <c r="Q25" s="25"/>
      <c r="R25" s="25">
        <v>344</v>
      </c>
      <c r="S25" s="25">
        <v>7</v>
      </c>
      <c r="T25" s="25">
        <v>0</v>
      </c>
      <c r="U25" s="25"/>
      <c r="V25" s="25"/>
      <c r="W25" s="25"/>
    </row>
    <row r="26" spans="1:23" ht="20.100000000000001" customHeight="1" x14ac:dyDescent="0.2">
      <c r="A26" s="23">
        <v>46136</v>
      </c>
      <c r="B26" s="24">
        <v>1476</v>
      </c>
      <c r="C26" s="24">
        <v>773</v>
      </c>
      <c r="D26" s="25"/>
      <c r="E26" s="25"/>
      <c r="F26" s="25">
        <v>120</v>
      </c>
      <c r="G26" s="25">
        <v>14</v>
      </c>
      <c r="H26" s="29">
        <f t="shared" si="0"/>
        <v>0.11666666666666667</v>
      </c>
      <c r="I26" s="25">
        <v>18</v>
      </c>
      <c r="J26" s="24"/>
      <c r="K26" s="25"/>
      <c r="L26" s="25"/>
      <c r="M26" s="25"/>
      <c r="N26" s="25"/>
      <c r="O26" s="25"/>
      <c r="P26" s="25"/>
      <c r="Q26" s="25"/>
      <c r="R26" s="25">
        <v>337</v>
      </c>
      <c r="S26" s="25">
        <v>10</v>
      </c>
      <c r="T26" s="25">
        <v>0</v>
      </c>
      <c r="U26" s="25"/>
      <c r="V26" s="25"/>
      <c r="W26" s="25"/>
    </row>
    <row r="27" spans="1:23" ht="20.100000000000001" customHeight="1" x14ac:dyDescent="0.2">
      <c r="A27" s="23">
        <v>46137</v>
      </c>
      <c r="B27" s="24">
        <v>1350</v>
      </c>
      <c r="C27" s="24">
        <v>736</v>
      </c>
      <c r="D27" s="25"/>
      <c r="E27" s="25"/>
      <c r="F27" s="25">
        <v>120</v>
      </c>
      <c r="G27" s="25">
        <v>16</v>
      </c>
      <c r="H27" s="29">
        <f t="shared" si="0"/>
        <v>0.13333333333333333</v>
      </c>
      <c r="I27" s="25">
        <v>4</v>
      </c>
      <c r="J27" s="24"/>
      <c r="K27" s="25"/>
      <c r="L27" s="25"/>
      <c r="M27" s="25"/>
      <c r="N27" s="25"/>
      <c r="O27" s="25"/>
      <c r="P27" s="25"/>
      <c r="Q27" s="25"/>
      <c r="R27" s="25">
        <v>275</v>
      </c>
      <c r="S27" s="25">
        <v>6</v>
      </c>
      <c r="T27" s="25">
        <v>0</v>
      </c>
      <c r="U27" s="25"/>
      <c r="V27" s="25"/>
      <c r="W27" s="25"/>
    </row>
    <row r="28" spans="1:23" ht="20.100000000000001" customHeight="1" x14ac:dyDescent="0.2">
      <c r="A28" s="23">
        <v>46138</v>
      </c>
      <c r="B28" s="24">
        <v>1915</v>
      </c>
      <c r="C28" s="24">
        <v>879</v>
      </c>
      <c r="D28" s="25"/>
      <c r="E28" s="25"/>
      <c r="F28" s="25">
        <v>120</v>
      </c>
      <c r="G28" s="25">
        <v>12</v>
      </c>
      <c r="H28" s="29">
        <f t="shared" si="0"/>
        <v>0.1</v>
      </c>
      <c r="I28" s="25">
        <v>0</v>
      </c>
      <c r="J28" s="24"/>
      <c r="K28" s="25"/>
      <c r="L28" s="25"/>
      <c r="M28" s="25"/>
      <c r="N28" s="25"/>
      <c r="O28" s="25"/>
      <c r="P28" s="25"/>
      <c r="Q28" s="25"/>
      <c r="R28" s="25">
        <v>265</v>
      </c>
      <c r="S28" s="25">
        <v>2</v>
      </c>
      <c r="T28" s="25">
        <v>0</v>
      </c>
      <c r="U28" s="25"/>
      <c r="V28" s="25"/>
      <c r="W28" s="25"/>
    </row>
    <row r="29" spans="1:23" ht="20.100000000000001" customHeight="1" x14ac:dyDescent="0.2">
      <c r="A29" s="23">
        <v>46139</v>
      </c>
      <c r="B29" s="24">
        <v>2516</v>
      </c>
      <c r="C29" s="24">
        <v>900</v>
      </c>
      <c r="D29" s="25"/>
      <c r="E29" s="25"/>
      <c r="F29" s="25">
        <v>120</v>
      </c>
      <c r="G29" s="25">
        <v>10</v>
      </c>
      <c r="H29" s="29">
        <f t="shared" si="0"/>
        <v>8.3333333333333329E-2</v>
      </c>
      <c r="I29" s="25">
        <v>2</v>
      </c>
      <c r="J29" s="24"/>
      <c r="K29" s="25"/>
      <c r="L29" s="25"/>
      <c r="M29" s="25"/>
      <c r="N29" s="25"/>
      <c r="O29" s="25"/>
      <c r="P29" s="25"/>
      <c r="Q29" s="25"/>
      <c r="R29" s="25">
        <v>357</v>
      </c>
      <c r="S29" s="25">
        <v>3</v>
      </c>
      <c r="T29" s="25">
        <v>0</v>
      </c>
      <c r="U29" s="25"/>
      <c r="V29" s="25"/>
      <c r="W29" s="25"/>
    </row>
    <row r="30" spans="1:23" ht="20.100000000000001" customHeight="1" x14ac:dyDescent="0.2">
      <c r="A30" s="23">
        <v>46140</v>
      </c>
      <c r="B30" s="24">
        <v>2178</v>
      </c>
      <c r="C30" s="24">
        <v>914</v>
      </c>
      <c r="D30" s="25"/>
      <c r="E30" s="25"/>
      <c r="F30" s="25">
        <v>120</v>
      </c>
      <c r="G30" s="25">
        <v>14</v>
      </c>
      <c r="H30" s="29">
        <f t="shared" si="0"/>
        <v>0.11666666666666667</v>
      </c>
      <c r="I30" s="25">
        <v>32</v>
      </c>
      <c r="J30" s="24"/>
      <c r="K30" s="25"/>
      <c r="L30" s="25"/>
      <c r="M30" s="25"/>
      <c r="N30" s="25"/>
      <c r="O30" s="25"/>
      <c r="P30" s="25"/>
      <c r="Q30" s="25"/>
      <c r="R30" s="25">
        <v>433</v>
      </c>
      <c r="S30" s="25">
        <v>9</v>
      </c>
      <c r="T30" s="25">
        <v>0</v>
      </c>
      <c r="U30" s="25"/>
      <c r="V30" s="25"/>
      <c r="W30" s="25"/>
    </row>
    <row r="31" spans="1:23" ht="20.100000000000001" customHeight="1" x14ac:dyDescent="0.2">
      <c r="A31" s="23">
        <v>46141</v>
      </c>
      <c r="B31" s="24">
        <v>2446</v>
      </c>
      <c r="C31" s="24">
        <v>931</v>
      </c>
      <c r="D31" s="25"/>
      <c r="E31" s="25"/>
      <c r="F31" s="25">
        <v>120</v>
      </c>
      <c r="G31" s="25">
        <v>13</v>
      </c>
      <c r="H31" s="29">
        <f t="shared" si="0"/>
        <v>0.10833333333333334</v>
      </c>
      <c r="I31" s="25">
        <v>46</v>
      </c>
      <c r="J31" s="24"/>
      <c r="K31" s="25"/>
      <c r="L31" s="25"/>
      <c r="M31" s="25"/>
      <c r="N31" s="25"/>
      <c r="O31" s="25"/>
      <c r="P31" s="25"/>
      <c r="Q31" s="25"/>
      <c r="R31" s="25">
        <v>451</v>
      </c>
      <c r="S31" s="25">
        <v>8</v>
      </c>
      <c r="T31" s="25">
        <v>0</v>
      </c>
      <c r="U31" s="25"/>
      <c r="V31" s="25"/>
      <c r="W31" s="25"/>
    </row>
    <row r="32" spans="1:23" ht="20.100000000000001" customHeight="1" x14ac:dyDescent="0.2">
      <c r="A32" s="23">
        <v>46142</v>
      </c>
      <c r="B32" s="26">
        <v>2476</v>
      </c>
      <c r="C32" s="26">
        <v>896</v>
      </c>
      <c r="D32" s="27"/>
      <c r="E32" s="27"/>
      <c r="F32" s="27">
        <v>120</v>
      </c>
      <c r="G32" s="27">
        <v>25</v>
      </c>
      <c r="H32" s="29">
        <f t="shared" si="0"/>
        <v>0.20833333333333334</v>
      </c>
      <c r="I32" s="27">
        <v>42</v>
      </c>
      <c r="J32" s="26"/>
      <c r="K32" s="27"/>
      <c r="L32" s="27"/>
      <c r="M32" s="27"/>
      <c r="N32" s="27"/>
      <c r="O32" s="27"/>
      <c r="P32" s="27"/>
      <c r="Q32" s="27"/>
      <c r="R32" s="27">
        <v>424</v>
      </c>
      <c r="S32" s="27">
        <v>5</v>
      </c>
      <c r="T32" s="27">
        <v>0</v>
      </c>
    </row>
    <row r="33" spans="1:20" ht="19.5" customHeight="1" x14ac:dyDescent="0.2">
      <c r="A33" s="28">
        <v>46173</v>
      </c>
      <c r="B33" s="26">
        <v>2223</v>
      </c>
      <c r="C33" s="26">
        <v>993</v>
      </c>
      <c r="D33" s="27"/>
      <c r="E33" s="27"/>
      <c r="F33" s="27">
        <v>120</v>
      </c>
      <c r="G33" s="27">
        <v>17</v>
      </c>
      <c r="H33" s="29">
        <f t="shared" si="0"/>
        <v>0.14166666666666666</v>
      </c>
      <c r="I33" s="27">
        <v>30</v>
      </c>
      <c r="J33" s="26"/>
      <c r="K33" s="27"/>
      <c r="L33" s="27"/>
      <c r="M33" s="27"/>
      <c r="N33" s="27"/>
      <c r="O33" s="27"/>
      <c r="P33" s="27"/>
      <c r="Q33" s="27"/>
      <c r="R33" s="27">
        <v>322</v>
      </c>
      <c r="S33" s="27">
        <v>4</v>
      </c>
      <c r="T33" s="27">
        <v>0</v>
      </c>
    </row>
  </sheetData>
  <mergeCells count="8">
    <mergeCell ref="V1:V2"/>
    <mergeCell ref="W1:W2"/>
    <mergeCell ref="A1:A2"/>
    <mergeCell ref="B1:I1"/>
    <mergeCell ref="J1:M1"/>
    <mergeCell ref="N1:Q1"/>
    <mergeCell ref="R1:T1"/>
    <mergeCell ref="U1:U2"/>
  </mergeCells>
  <phoneticPr fontId="10"/>
  <pageMargins left="0.75" right="0.75" top="1" bottom="1" header="0.5" footer="0.5"/>
  <pageSetup paperSize="9" scale="57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C86F3-A270-4870-ADE2-6C37AF6EEE05}">
  <dimension ref="A1:W33"/>
  <sheetViews>
    <sheetView view="pageBreakPreview" zoomScale="90" zoomScaleNormal="100" zoomScaleSheetLayoutView="90" workbookViewId="0">
      <pane ySplit="1" topLeftCell="A2" activePane="bottomLeft" state="frozen"/>
      <selection pane="bottomLeft" activeCell="B1" sqref="A1:XFD2"/>
    </sheetView>
  </sheetViews>
  <sheetFormatPr defaultColWidth="8.875" defaultRowHeight="13.5" x14ac:dyDescent="0.15"/>
  <cols>
    <col min="1" max="1" width="9.5" style="14" bestFit="1" customWidth="1"/>
    <col min="2" max="2" width="6.375" style="17" bestFit="1" customWidth="1"/>
    <col min="3" max="3" width="8" style="17" bestFit="1" customWidth="1"/>
    <col min="4" max="4" width="12.875" style="11" customWidth="1"/>
    <col min="5" max="6" width="17" style="11" customWidth="1"/>
    <col min="7" max="7" width="13.375" style="11" customWidth="1"/>
    <col min="8" max="8" width="13.375" style="15" customWidth="1"/>
    <col min="9" max="9" width="12.75" style="11" customWidth="1"/>
    <col min="10" max="10" width="11.125" style="17" customWidth="1"/>
    <col min="11" max="13" width="7" style="11" customWidth="1"/>
    <col min="14" max="14" width="9.5" style="11" customWidth="1"/>
    <col min="15" max="15" width="5.875" style="11" bestFit="1" customWidth="1"/>
    <col min="16" max="16" width="4.75" style="11" bestFit="1" customWidth="1"/>
    <col min="17" max="17" width="5.375" style="11" bestFit="1" customWidth="1"/>
    <col min="18" max="18" width="9.625" style="11" bestFit="1" customWidth="1"/>
    <col min="19" max="19" width="11.75" style="11" customWidth="1"/>
    <col min="20" max="20" width="9" style="11" bestFit="1" customWidth="1"/>
    <col min="21" max="21" width="5.375" style="11" bestFit="1" customWidth="1"/>
    <col min="22" max="22" width="22.5" style="11" customWidth="1"/>
    <col min="23" max="23" width="4.125" style="11" bestFit="1" customWidth="1"/>
    <col min="24" max="16384" width="8.875" style="11"/>
  </cols>
  <sheetData>
    <row r="1" spans="1:23" s="35" customFormat="1" ht="23.25" customHeight="1" x14ac:dyDescent="0.15">
      <c r="A1" s="54" t="s">
        <v>225</v>
      </c>
      <c r="B1" s="56" t="s">
        <v>226</v>
      </c>
      <c r="C1" s="57"/>
      <c r="D1" s="57"/>
      <c r="E1" s="57"/>
      <c r="F1" s="57"/>
      <c r="G1" s="57"/>
      <c r="H1" s="57"/>
      <c r="I1" s="58"/>
      <c r="J1" s="56" t="s">
        <v>227</v>
      </c>
      <c r="K1" s="57"/>
      <c r="L1" s="57"/>
      <c r="M1" s="58"/>
      <c r="N1" s="59" t="s">
        <v>228</v>
      </c>
      <c r="O1" s="60"/>
      <c r="P1" s="60"/>
      <c r="Q1" s="61"/>
      <c r="R1" s="59" t="s">
        <v>229</v>
      </c>
      <c r="S1" s="60"/>
      <c r="T1" s="61"/>
      <c r="U1" s="52" t="s">
        <v>230</v>
      </c>
      <c r="V1" s="52" t="s">
        <v>231</v>
      </c>
      <c r="W1" s="52" t="s">
        <v>232</v>
      </c>
    </row>
    <row r="2" spans="1:23" s="35" customFormat="1" ht="23.25" customHeight="1" x14ac:dyDescent="0.15">
      <c r="A2" s="55"/>
      <c r="B2" s="36" t="s">
        <v>233</v>
      </c>
      <c r="C2" s="36" t="s">
        <v>234</v>
      </c>
      <c r="D2" s="37" t="s">
        <v>235</v>
      </c>
      <c r="E2" s="37" t="s">
        <v>236</v>
      </c>
      <c r="F2" s="38" t="s">
        <v>237</v>
      </c>
      <c r="G2" s="37" t="s">
        <v>238</v>
      </c>
      <c r="H2" s="37" t="s">
        <v>239</v>
      </c>
      <c r="I2" s="37" t="s">
        <v>240</v>
      </c>
      <c r="J2" s="36" t="s">
        <v>241</v>
      </c>
      <c r="K2" s="37" t="s">
        <v>242</v>
      </c>
      <c r="L2" s="37" t="s">
        <v>243</v>
      </c>
      <c r="M2" s="37" t="s">
        <v>244</v>
      </c>
      <c r="N2" s="37" t="s">
        <v>241</v>
      </c>
      <c r="O2" s="37" t="s">
        <v>242</v>
      </c>
      <c r="P2" s="37" t="s">
        <v>243</v>
      </c>
      <c r="Q2" s="37" t="s">
        <v>244</v>
      </c>
      <c r="R2" s="37" t="s">
        <v>245</v>
      </c>
      <c r="S2" s="37" t="s">
        <v>246</v>
      </c>
      <c r="T2" s="37" t="s">
        <v>247</v>
      </c>
      <c r="U2" s="53"/>
      <c r="V2" s="53"/>
      <c r="W2" s="53"/>
    </row>
    <row r="3" spans="1:23" ht="20.100000000000001" customHeight="1" x14ac:dyDescent="0.2">
      <c r="A3" s="23">
        <v>46143</v>
      </c>
      <c r="B3" s="24">
        <v>2183</v>
      </c>
      <c r="C3" s="24">
        <v>896</v>
      </c>
      <c r="D3" s="25"/>
      <c r="E3" s="25"/>
      <c r="F3" s="25">
        <v>120</v>
      </c>
      <c r="G3" s="25">
        <v>14</v>
      </c>
      <c r="H3" s="29">
        <f>G3/F3</f>
        <v>0.11666666666666667</v>
      </c>
      <c r="I3" s="25">
        <v>30</v>
      </c>
      <c r="J3" s="24"/>
      <c r="K3" s="25"/>
      <c r="L3" s="25"/>
      <c r="M3" s="25"/>
      <c r="N3" s="25"/>
      <c r="O3" s="25"/>
      <c r="P3" s="25"/>
      <c r="Q3" s="25"/>
      <c r="R3" s="25">
        <v>382</v>
      </c>
      <c r="S3" s="25">
        <v>4</v>
      </c>
      <c r="T3" s="25">
        <v>0</v>
      </c>
      <c r="U3" s="25"/>
      <c r="V3" s="25"/>
      <c r="W3" s="25"/>
    </row>
    <row r="4" spans="1:23" ht="20.100000000000001" customHeight="1" x14ac:dyDescent="0.2">
      <c r="A4" s="23">
        <v>46144</v>
      </c>
      <c r="B4" s="24">
        <v>1917</v>
      </c>
      <c r="C4" s="24">
        <v>807</v>
      </c>
      <c r="D4" s="25"/>
      <c r="E4" s="25"/>
      <c r="F4" s="25">
        <v>120</v>
      </c>
      <c r="G4" s="25">
        <v>23</v>
      </c>
      <c r="H4" s="29">
        <f t="shared" ref="H4:H33" si="0">G4/F4</f>
        <v>0.19166666666666668</v>
      </c>
      <c r="I4" s="25">
        <v>25</v>
      </c>
      <c r="J4" s="24"/>
      <c r="K4" s="25"/>
      <c r="L4" s="25"/>
      <c r="M4" s="25"/>
      <c r="N4" s="25"/>
      <c r="O4" s="25"/>
      <c r="P4" s="25"/>
      <c r="Q4" s="25"/>
      <c r="R4" s="25">
        <v>329</v>
      </c>
      <c r="S4" s="25">
        <v>10</v>
      </c>
      <c r="T4" s="25">
        <v>0</v>
      </c>
      <c r="U4" s="25"/>
      <c r="V4" s="25"/>
      <c r="W4" s="25"/>
    </row>
    <row r="5" spans="1:23" ht="20.100000000000001" customHeight="1" x14ac:dyDescent="0.2">
      <c r="A5" s="23">
        <v>46145</v>
      </c>
      <c r="B5" s="24">
        <v>1650</v>
      </c>
      <c r="C5" s="24">
        <v>741</v>
      </c>
      <c r="D5" s="25"/>
      <c r="E5" s="25"/>
      <c r="F5" s="25">
        <v>80</v>
      </c>
      <c r="G5" s="25">
        <v>6</v>
      </c>
      <c r="H5" s="29">
        <f t="shared" si="0"/>
        <v>7.4999999999999997E-2</v>
      </c>
      <c r="I5" s="25">
        <v>23</v>
      </c>
      <c r="J5" s="24"/>
      <c r="K5" s="25"/>
      <c r="L5" s="25"/>
      <c r="M5" s="25"/>
      <c r="N5" s="25"/>
      <c r="O5" s="25"/>
      <c r="P5" s="25"/>
      <c r="Q5" s="25"/>
      <c r="R5" s="25">
        <v>268</v>
      </c>
      <c r="S5" s="25">
        <v>13</v>
      </c>
      <c r="T5" s="25">
        <v>0</v>
      </c>
      <c r="U5" s="25"/>
      <c r="V5" s="25"/>
      <c r="W5" s="25"/>
    </row>
    <row r="6" spans="1:23" ht="20.100000000000001" customHeight="1" x14ac:dyDescent="0.2">
      <c r="A6" s="23">
        <v>46146</v>
      </c>
      <c r="B6" s="24">
        <v>1435</v>
      </c>
      <c r="C6" s="24">
        <v>634</v>
      </c>
      <c r="D6" s="25"/>
      <c r="E6" s="25"/>
      <c r="F6" s="25">
        <v>40</v>
      </c>
      <c r="G6" s="25">
        <v>3</v>
      </c>
      <c r="H6" s="29">
        <f t="shared" si="0"/>
        <v>7.4999999999999997E-2</v>
      </c>
      <c r="I6" s="25">
        <v>13</v>
      </c>
      <c r="J6" s="24"/>
      <c r="K6" s="25"/>
      <c r="L6" s="25"/>
      <c r="M6" s="25"/>
      <c r="N6" s="25"/>
      <c r="O6" s="25"/>
      <c r="P6" s="25"/>
      <c r="Q6" s="25"/>
      <c r="R6" s="25">
        <v>227</v>
      </c>
      <c r="S6" s="25">
        <v>4</v>
      </c>
      <c r="T6" s="25">
        <v>0</v>
      </c>
      <c r="U6" s="25"/>
      <c r="V6" s="25"/>
      <c r="W6" s="25"/>
    </row>
    <row r="7" spans="1:23" ht="20.100000000000001" customHeight="1" x14ac:dyDescent="0.2">
      <c r="A7" s="23">
        <v>46147</v>
      </c>
      <c r="B7" s="24">
        <v>1317</v>
      </c>
      <c r="C7" s="24">
        <v>504</v>
      </c>
      <c r="D7" s="25"/>
      <c r="E7" s="25"/>
      <c r="F7" s="25">
        <v>120</v>
      </c>
      <c r="G7" s="25">
        <v>12</v>
      </c>
      <c r="H7" s="29">
        <f t="shared" si="0"/>
        <v>0.1</v>
      </c>
      <c r="I7" s="25">
        <v>10</v>
      </c>
      <c r="J7" s="24"/>
      <c r="K7" s="25"/>
      <c r="L7" s="25"/>
      <c r="M7" s="25"/>
      <c r="N7" s="25"/>
      <c r="O7" s="25"/>
      <c r="P7" s="25"/>
      <c r="Q7" s="25"/>
      <c r="R7" s="25">
        <v>205</v>
      </c>
      <c r="S7" s="25">
        <v>6</v>
      </c>
      <c r="T7" s="25">
        <v>0</v>
      </c>
      <c r="U7" s="25"/>
      <c r="V7" s="25"/>
      <c r="W7" s="25"/>
    </row>
    <row r="8" spans="1:23" ht="20.100000000000001" customHeight="1" x14ac:dyDescent="0.2">
      <c r="A8" s="23">
        <v>46148</v>
      </c>
      <c r="B8" s="24">
        <v>1669</v>
      </c>
      <c r="C8" s="24">
        <v>638</v>
      </c>
      <c r="D8" s="25"/>
      <c r="E8" s="25"/>
      <c r="F8" s="25">
        <v>120</v>
      </c>
      <c r="G8" s="25">
        <v>12</v>
      </c>
      <c r="H8" s="29">
        <f t="shared" si="0"/>
        <v>0.1</v>
      </c>
      <c r="I8" s="25">
        <v>20</v>
      </c>
      <c r="J8" s="24"/>
      <c r="K8" s="25"/>
      <c r="L8" s="25"/>
      <c r="M8" s="25"/>
      <c r="N8" s="25"/>
      <c r="O8" s="25"/>
      <c r="P8" s="25"/>
      <c r="Q8" s="25"/>
      <c r="R8" s="25">
        <v>244</v>
      </c>
      <c r="S8" s="25">
        <v>12</v>
      </c>
      <c r="T8" s="25">
        <v>0</v>
      </c>
      <c r="U8" s="25"/>
      <c r="V8" s="25"/>
      <c r="W8" s="25"/>
    </row>
    <row r="9" spans="1:23" ht="20.100000000000001" customHeight="1" x14ac:dyDescent="0.2">
      <c r="A9" s="23">
        <v>46149</v>
      </c>
      <c r="B9" s="24">
        <v>2605</v>
      </c>
      <c r="C9" s="24">
        <v>950</v>
      </c>
      <c r="D9" s="25"/>
      <c r="E9" s="25"/>
      <c r="F9" s="25">
        <v>120</v>
      </c>
      <c r="G9" s="25">
        <v>6</v>
      </c>
      <c r="H9" s="29">
        <f t="shared" si="0"/>
        <v>0.05</v>
      </c>
      <c r="I9" s="25">
        <v>36</v>
      </c>
      <c r="J9" s="24"/>
      <c r="K9" s="25"/>
      <c r="L9" s="25"/>
      <c r="M9" s="25"/>
      <c r="N9" s="25"/>
      <c r="O9" s="25"/>
      <c r="P9" s="25"/>
      <c r="Q9" s="25"/>
      <c r="R9" s="25">
        <v>304</v>
      </c>
      <c r="S9" s="25">
        <v>11</v>
      </c>
      <c r="T9" s="25">
        <v>0</v>
      </c>
      <c r="U9" s="25"/>
      <c r="V9" s="25"/>
      <c r="W9" s="25"/>
    </row>
    <row r="10" spans="1:23" ht="20.100000000000001" customHeight="1" x14ac:dyDescent="0.2">
      <c r="A10" s="23">
        <v>46150</v>
      </c>
      <c r="B10" s="24">
        <v>2163</v>
      </c>
      <c r="C10" s="24">
        <v>867</v>
      </c>
      <c r="D10" s="25"/>
      <c r="E10" s="25"/>
      <c r="F10" s="25">
        <v>120</v>
      </c>
      <c r="G10" s="25">
        <v>7</v>
      </c>
      <c r="H10" s="29">
        <f t="shared" si="0"/>
        <v>5.8333333333333334E-2</v>
      </c>
      <c r="I10" s="25">
        <v>30</v>
      </c>
      <c r="J10" s="24"/>
      <c r="K10" s="25"/>
      <c r="L10" s="25"/>
      <c r="M10" s="25"/>
      <c r="N10" s="25"/>
      <c r="O10" s="25"/>
      <c r="P10" s="25"/>
      <c r="Q10" s="25"/>
      <c r="R10" s="25">
        <v>283</v>
      </c>
      <c r="S10" s="25">
        <v>10</v>
      </c>
      <c r="T10" s="25">
        <v>0</v>
      </c>
      <c r="U10" s="25"/>
      <c r="V10" s="25"/>
      <c r="W10" s="25"/>
    </row>
    <row r="11" spans="1:23" ht="20.100000000000001" customHeight="1" x14ac:dyDescent="0.2">
      <c r="A11" s="23">
        <v>46151</v>
      </c>
      <c r="B11" s="24">
        <v>1013</v>
      </c>
      <c r="C11" s="24">
        <v>429</v>
      </c>
      <c r="D11" s="25"/>
      <c r="E11" s="25"/>
      <c r="F11" s="25">
        <v>120</v>
      </c>
      <c r="G11" s="25">
        <v>17</v>
      </c>
      <c r="H11" s="29">
        <f t="shared" si="0"/>
        <v>0.14166666666666666</v>
      </c>
      <c r="I11" s="25">
        <v>7</v>
      </c>
      <c r="J11" s="24"/>
      <c r="K11" s="25"/>
      <c r="L11" s="25"/>
      <c r="M11" s="25"/>
      <c r="N11" s="25"/>
      <c r="O11" s="25"/>
      <c r="P11" s="25"/>
      <c r="Q11" s="25"/>
      <c r="R11" s="25">
        <v>285</v>
      </c>
      <c r="S11" s="25">
        <v>6</v>
      </c>
      <c r="T11" s="25">
        <v>0</v>
      </c>
      <c r="U11" s="25"/>
      <c r="V11" s="25"/>
      <c r="W11" s="25"/>
    </row>
    <row r="12" spans="1:23" ht="20.100000000000001" customHeight="1" x14ac:dyDescent="0.2">
      <c r="A12" s="23">
        <v>46152</v>
      </c>
      <c r="B12" s="24">
        <v>1432</v>
      </c>
      <c r="C12" s="24">
        <v>744</v>
      </c>
      <c r="D12" s="25"/>
      <c r="E12" s="25"/>
      <c r="F12" s="25">
        <v>120</v>
      </c>
      <c r="G12" s="25">
        <v>10</v>
      </c>
      <c r="H12" s="29">
        <f t="shared" si="0"/>
        <v>8.3333333333333329E-2</v>
      </c>
      <c r="I12" s="25">
        <v>10</v>
      </c>
      <c r="J12" s="24"/>
      <c r="K12" s="25"/>
      <c r="L12" s="25"/>
      <c r="M12" s="25"/>
      <c r="N12" s="25"/>
      <c r="O12" s="25"/>
      <c r="P12" s="25"/>
      <c r="Q12" s="25"/>
      <c r="R12" s="25">
        <v>315</v>
      </c>
      <c r="S12" s="25">
        <v>2</v>
      </c>
      <c r="T12" s="25">
        <v>0</v>
      </c>
      <c r="U12" s="25"/>
      <c r="V12" s="25"/>
      <c r="W12" s="25"/>
    </row>
    <row r="13" spans="1:23" ht="20.100000000000001" customHeight="1" x14ac:dyDescent="0.2">
      <c r="A13" s="23">
        <v>46153</v>
      </c>
      <c r="B13" s="24">
        <v>2263</v>
      </c>
      <c r="C13" s="24">
        <v>937</v>
      </c>
      <c r="D13" s="25"/>
      <c r="E13" s="25"/>
      <c r="F13" s="25">
        <v>120</v>
      </c>
      <c r="G13" s="25">
        <v>11</v>
      </c>
      <c r="H13" s="29">
        <f t="shared" si="0"/>
        <v>9.166666666666666E-2</v>
      </c>
      <c r="I13" s="25">
        <v>22</v>
      </c>
      <c r="J13" s="24"/>
      <c r="K13" s="25"/>
      <c r="L13" s="25"/>
      <c r="M13" s="25"/>
      <c r="N13" s="25"/>
      <c r="O13" s="25"/>
      <c r="P13" s="25"/>
      <c r="Q13" s="25"/>
      <c r="R13" s="25">
        <v>324</v>
      </c>
      <c r="S13" s="25">
        <v>3</v>
      </c>
      <c r="T13" s="25">
        <v>0</v>
      </c>
      <c r="U13" s="25"/>
      <c r="V13" s="25"/>
      <c r="W13" s="25"/>
    </row>
    <row r="14" spans="1:23" ht="20.100000000000001" customHeight="1" x14ac:dyDescent="0.2">
      <c r="A14" s="23">
        <v>46154</v>
      </c>
      <c r="B14" s="24">
        <v>2206</v>
      </c>
      <c r="C14" s="24">
        <v>881</v>
      </c>
      <c r="D14" s="25"/>
      <c r="E14" s="25"/>
      <c r="F14" s="25">
        <v>120</v>
      </c>
      <c r="G14" s="25">
        <v>12</v>
      </c>
      <c r="H14" s="29">
        <f t="shared" si="0"/>
        <v>0.1</v>
      </c>
      <c r="I14" s="25">
        <v>22</v>
      </c>
      <c r="J14" s="24"/>
      <c r="K14" s="25"/>
      <c r="L14" s="25"/>
      <c r="M14" s="25"/>
      <c r="N14" s="25"/>
      <c r="O14" s="25"/>
      <c r="P14" s="25"/>
      <c r="Q14" s="25"/>
      <c r="R14" s="25">
        <v>397</v>
      </c>
      <c r="S14" s="25">
        <v>8</v>
      </c>
      <c r="T14" s="25">
        <v>0</v>
      </c>
      <c r="U14" s="25"/>
      <c r="V14" s="25"/>
      <c r="W14" s="25"/>
    </row>
    <row r="15" spans="1:23" ht="20.100000000000001" customHeight="1" x14ac:dyDescent="0.2">
      <c r="A15" s="23">
        <v>46155</v>
      </c>
      <c r="B15" s="24">
        <v>1409</v>
      </c>
      <c r="C15" s="24">
        <v>569</v>
      </c>
      <c r="D15" s="25"/>
      <c r="E15" s="25"/>
      <c r="F15" s="25">
        <v>120</v>
      </c>
      <c r="G15" s="25">
        <v>5</v>
      </c>
      <c r="H15" s="29">
        <f t="shared" si="0"/>
        <v>4.1666666666666664E-2</v>
      </c>
      <c r="I15" s="25">
        <v>12</v>
      </c>
      <c r="J15" s="24"/>
      <c r="K15" s="25"/>
      <c r="L15" s="25"/>
      <c r="M15" s="25"/>
      <c r="N15" s="25"/>
      <c r="O15" s="25"/>
      <c r="P15" s="25"/>
      <c r="Q15" s="25"/>
      <c r="R15" s="25">
        <v>360</v>
      </c>
      <c r="S15" s="25">
        <v>10</v>
      </c>
      <c r="T15" s="25">
        <v>0</v>
      </c>
      <c r="U15" s="25"/>
      <c r="V15" s="25"/>
      <c r="W15" s="25"/>
    </row>
    <row r="16" spans="1:23" ht="20.100000000000001" customHeight="1" x14ac:dyDescent="0.2">
      <c r="A16" s="23">
        <v>46156</v>
      </c>
      <c r="B16" s="24">
        <v>1605</v>
      </c>
      <c r="C16" s="24">
        <v>667</v>
      </c>
      <c r="D16" s="25"/>
      <c r="E16" s="25"/>
      <c r="F16" s="25">
        <v>120</v>
      </c>
      <c r="G16" s="25">
        <v>6</v>
      </c>
      <c r="H16" s="29">
        <f t="shared" si="0"/>
        <v>0.05</v>
      </c>
      <c r="I16" s="25">
        <v>17</v>
      </c>
      <c r="J16" s="24"/>
      <c r="K16" s="25"/>
      <c r="L16" s="25"/>
      <c r="M16" s="25"/>
      <c r="N16" s="25"/>
      <c r="O16" s="25"/>
      <c r="P16" s="25"/>
      <c r="Q16" s="25"/>
      <c r="R16" s="25">
        <v>309</v>
      </c>
      <c r="S16" s="25">
        <v>5</v>
      </c>
      <c r="T16" s="25">
        <v>0</v>
      </c>
      <c r="U16" s="25"/>
      <c r="V16" s="25"/>
      <c r="W16" s="25"/>
    </row>
    <row r="17" spans="1:23" ht="20.100000000000001" customHeight="1" x14ac:dyDescent="0.2">
      <c r="A17" s="23">
        <v>46157</v>
      </c>
      <c r="B17" s="24">
        <v>2013</v>
      </c>
      <c r="C17" s="24">
        <v>829</v>
      </c>
      <c r="D17" s="25"/>
      <c r="E17" s="25"/>
      <c r="F17" s="25">
        <v>120</v>
      </c>
      <c r="G17" s="25">
        <v>15</v>
      </c>
      <c r="H17" s="29">
        <f t="shared" si="0"/>
        <v>0.125</v>
      </c>
      <c r="I17" s="25">
        <v>34</v>
      </c>
      <c r="J17" s="24"/>
      <c r="K17" s="25"/>
      <c r="L17" s="25"/>
      <c r="M17" s="25"/>
      <c r="N17" s="25"/>
      <c r="O17" s="25"/>
      <c r="P17" s="25"/>
      <c r="Q17" s="25"/>
      <c r="R17" s="25">
        <v>394</v>
      </c>
      <c r="S17" s="25">
        <v>5</v>
      </c>
      <c r="T17" s="25">
        <v>0</v>
      </c>
      <c r="U17" s="25"/>
      <c r="V17" s="25"/>
      <c r="W17" s="25"/>
    </row>
    <row r="18" spans="1:23" ht="20.100000000000001" customHeight="1" x14ac:dyDescent="0.2">
      <c r="A18" s="23">
        <v>46158</v>
      </c>
      <c r="B18" s="24">
        <v>2174</v>
      </c>
      <c r="C18" s="24">
        <v>876</v>
      </c>
      <c r="D18" s="25"/>
      <c r="E18" s="25"/>
      <c r="F18" s="25">
        <v>120</v>
      </c>
      <c r="G18" s="25">
        <v>13</v>
      </c>
      <c r="H18" s="29">
        <f t="shared" si="0"/>
        <v>0.10833333333333334</v>
      </c>
      <c r="I18" s="25">
        <v>37</v>
      </c>
      <c r="J18" s="24"/>
      <c r="K18" s="25"/>
      <c r="L18" s="25"/>
      <c r="M18" s="25"/>
      <c r="N18" s="25"/>
      <c r="O18" s="25"/>
      <c r="P18" s="25"/>
      <c r="Q18" s="25"/>
      <c r="R18" s="25">
        <v>389</v>
      </c>
      <c r="S18" s="25">
        <v>8</v>
      </c>
      <c r="T18" s="25">
        <v>0</v>
      </c>
      <c r="U18" s="25"/>
      <c r="V18" s="25"/>
      <c r="W18" s="25"/>
    </row>
    <row r="19" spans="1:23" ht="20.100000000000001" customHeight="1" x14ac:dyDescent="0.2">
      <c r="A19" s="23">
        <v>46159</v>
      </c>
      <c r="B19" s="24">
        <v>1920</v>
      </c>
      <c r="C19" s="24">
        <v>840</v>
      </c>
      <c r="D19" s="25"/>
      <c r="E19" s="25"/>
      <c r="F19" s="25">
        <v>120</v>
      </c>
      <c r="G19" s="25">
        <v>15</v>
      </c>
      <c r="H19" s="29">
        <f t="shared" si="0"/>
        <v>0.125</v>
      </c>
      <c r="I19" s="25">
        <v>29</v>
      </c>
      <c r="J19" s="24"/>
      <c r="K19" s="25"/>
      <c r="L19" s="25"/>
      <c r="M19" s="25"/>
      <c r="N19" s="25"/>
      <c r="O19" s="25"/>
      <c r="P19" s="25"/>
      <c r="Q19" s="25"/>
      <c r="R19" s="25">
        <v>384</v>
      </c>
      <c r="S19" s="25">
        <v>5</v>
      </c>
      <c r="T19" s="25">
        <v>0</v>
      </c>
      <c r="U19" s="25"/>
      <c r="V19" s="25"/>
      <c r="W19" s="25"/>
    </row>
    <row r="20" spans="1:23" ht="20.100000000000001" customHeight="1" x14ac:dyDescent="0.2">
      <c r="A20" s="23">
        <v>46160</v>
      </c>
      <c r="B20" s="24">
        <v>1983</v>
      </c>
      <c r="C20" s="24">
        <v>750</v>
      </c>
      <c r="D20" s="25"/>
      <c r="E20" s="25"/>
      <c r="F20" s="25">
        <v>120</v>
      </c>
      <c r="G20" s="25">
        <v>19</v>
      </c>
      <c r="H20" s="29">
        <f t="shared" si="0"/>
        <v>0.15833333333333333</v>
      </c>
      <c r="I20" s="25">
        <v>40</v>
      </c>
      <c r="J20" s="24"/>
      <c r="K20" s="25"/>
      <c r="L20" s="25"/>
      <c r="M20" s="25"/>
      <c r="N20" s="25"/>
      <c r="O20" s="25"/>
      <c r="P20" s="25"/>
      <c r="Q20" s="25"/>
      <c r="R20" s="25">
        <v>398</v>
      </c>
      <c r="S20" s="25">
        <v>3</v>
      </c>
      <c r="T20" s="25">
        <v>0</v>
      </c>
      <c r="U20" s="25"/>
      <c r="V20" s="25"/>
      <c r="W20" s="25"/>
    </row>
    <row r="21" spans="1:23" ht="20.100000000000001" customHeight="1" x14ac:dyDescent="0.2">
      <c r="A21" s="23">
        <v>46161</v>
      </c>
      <c r="B21" s="24">
        <v>1954</v>
      </c>
      <c r="C21" s="24">
        <v>763</v>
      </c>
      <c r="D21" s="25"/>
      <c r="E21" s="25"/>
      <c r="F21" s="25">
        <v>120</v>
      </c>
      <c r="G21" s="25">
        <v>15</v>
      </c>
      <c r="H21" s="29">
        <f t="shared" si="0"/>
        <v>0.125</v>
      </c>
      <c r="I21" s="25">
        <v>33</v>
      </c>
      <c r="J21" s="24"/>
      <c r="K21" s="25"/>
      <c r="L21" s="25"/>
      <c r="M21" s="25"/>
      <c r="N21" s="25"/>
      <c r="O21" s="25"/>
      <c r="P21" s="25"/>
      <c r="Q21" s="25"/>
      <c r="R21" s="25">
        <v>389</v>
      </c>
      <c r="S21" s="25">
        <v>4</v>
      </c>
      <c r="T21" s="25">
        <v>0</v>
      </c>
      <c r="U21" s="25"/>
      <c r="V21" s="25"/>
      <c r="W21" s="25"/>
    </row>
    <row r="22" spans="1:23" ht="20.100000000000001" customHeight="1" x14ac:dyDescent="0.2">
      <c r="A22" s="23">
        <v>46162</v>
      </c>
      <c r="B22" s="24">
        <v>1773</v>
      </c>
      <c r="C22" s="24">
        <v>740</v>
      </c>
      <c r="D22" s="25"/>
      <c r="E22" s="25"/>
      <c r="F22" s="25">
        <v>120</v>
      </c>
      <c r="G22" s="25">
        <v>21</v>
      </c>
      <c r="H22" s="29">
        <f t="shared" si="0"/>
        <v>0.17499999999999999</v>
      </c>
      <c r="I22" s="25">
        <v>30</v>
      </c>
      <c r="J22" s="24"/>
      <c r="K22" s="25"/>
      <c r="L22" s="25"/>
      <c r="M22" s="25"/>
      <c r="N22" s="25"/>
      <c r="O22" s="25"/>
      <c r="P22" s="25"/>
      <c r="Q22" s="25"/>
      <c r="R22" s="25">
        <v>408</v>
      </c>
      <c r="S22" s="25">
        <v>5</v>
      </c>
      <c r="T22" s="25">
        <v>0</v>
      </c>
      <c r="U22" s="25"/>
      <c r="V22" s="25"/>
      <c r="W22" s="25"/>
    </row>
    <row r="23" spans="1:23" ht="20.100000000000001" customHeight="1" x14ac:dyDescent="0.2">
      <c r="A23" s="23">
        <v>46163</v>
      </c>
      <c r="B23" s="24">
        <v>2009</v>
      </c>
      <c r="C23" s="24">
        <v>794</v>
      </c>
      <c r="D23" s="25"/>
      <c r="E23" s="25"/>
      <c r="F23" s="25">
        <v>120</v>
      </c>
      <c r="G23" s="25">
        <v>16</v>
      </c>
      <c r="H23" s="29">
        <f t="shared" si="0"/>
        <v>0.13333333333333333</v>
      </c>
      <c r="I23" s="25">
        <v>42</v>
      </c>
      <c r="J23" s="24"/>
      <c r="K23" s="25"/>
      <c r="L23" s="25"/>
      <c r="M23" s="25"/>
      <c r="N23" s="25"/>
      <c r="O23" s="25"/>
      <c r="P23" s="25"/>
      <c r="Q23" s="25"/>
      <c r="R23" s="25">
        <v>361</v>
      </c>
      <c r="S23" s="25">
        <v>3</v>
      </c>
      <c r="T23" s="25">
        <v>0</v>
      </c>
      <c r="U23" s="25"/>
      <c r="V23" s="25"/>
      <c r="W23" s="25"/>
    </row>
    <row r="24" spans="1:23" ht="20.100000000000001" customHeight="1" x14ac:dyDescent="0.2">
      <c r="A24" s="23">
        <v>46164</v>
      </c>
      <c r="B24" s="24">
        <v>1702</v>
      </c>
      <c r="C24" s="24">
        <v>763</v>
      </c>
      <c r="D24" s="25"/>
      <c r="E24" s="25"/>
      <c r="F24" s="25">
        <v>120</v>
      </c>
      <c r="G24" s="25">
        <v>14</v>
      </c>
      <c r="H24" s="29">
        <f t="shared" si="0"/>
        <v>0.11666666666666667</v>
      </c>
      <c r="I24" s="25">
        <v>25</v>
      </c>
      <c r="J24" s="24"/>
      <c r="K24" s="25"/>
      <c r="L24" s="25"/>
      <c r="M24" s="25"/>
      <c r="N24" s="25"/>
      <c r="O24" s="25"/>
      <c r="P24" s="25"/>
      <c r="Q24" s="25"/>
      <c r="R24" s="25">
        <v>324</v>
      </c>
      <c r="S24" s="25">
        <v>2</v>
      </c>
      <c r="T24" s="25">
        <v>0</v>
      </c>
      <c r="U24" s="25"/>
      <c r="V24" s="25"/>
      <c r="W24" s="25"/>
    </row>
    <row r="25" spans="1:23" ht="20.100000000000001" customHeight="1" x14ac:dyDescent="0.2">
      <c r="A25" s="23">
        <v>46165</v>
      </c>
      <c r="B25" s="24">
        <v>1640</v>
      </c>
      <c r="C25" s="24">
        <v>926</v>
      </c>
      <c r="D25" s="25"/>
      <c r="E25" s="25"/>
      <c r="F25" s="25">
        <v>80</v>
      </c>
      <c r="G25" s="25">
        <v>14</v>
      </c>
      <c r="H25" s="29">
        <f t="shared" si="0"/>
        <v>0.17499999999999999</v>
      </c>
      <c r="I25" s="25">
        <v>16</v>
      </c>
      <c r="J25" s="24"/>
      <c r="K25" s="25"/>
      <c r="L25" s="25"/>
      <c r="M25" s="25"/>
      <c r="N25" s="25"/>
      <c r="O25" s="25"/>
      <c r="P25" s="25"/>
      <c r="Q25" s="25"/>
      <c r="R25" s="25">
        <v>283</v>
      </c>
      <c r="S25" s="25">
        <v>4</v>
      </c>
      <c r="T25" s="25">
        <v>0</v>
      </c>
      <c r="U25" s="25"/>
      <c r="V25" s="25"/>
      <c r="W25" s="25"/>
    </row>
    <row r="26" spans="1:23" ht="20.100000000000001" customHeight="1" x14ac:dyDescent="0.2">
      <c r="A26" s="23">
        <v>46166</v>
      </c>
      <c r="B26" s="24">
        <v>2871</v>
      </c>
      <c r="C26" s="24">
        <v>1232</v>
      </c>
      <c r="D26" s="25"/>
      <c r="E26" s="25"/>
      <c r="F26" s="25">
        <v>80</v>
      </c>
      <c r="G26" s="25">
        <v>4</v>
      </c>
      <c r="H26" s="29">
        <f t="shared" si="0"/>
        <v>0.05</v>
      </c>
      <c r="I26" s="25">
        <v>49</v>
      </c>
      <c r="J26" s="24"/>
      <c r="K26" s="25"/>
      <c r="L26" s="25"/>
      <c r="M26" s="25"/>
      <c r="N26" s="25"/>
      <c r="O26" s="25"/>
      <c r="P26" s="25"/>
      <c r="Q26" s="25"/>
      <c r="R26" s="25">
        <v>213</v>
      </c>
      <c r="S26" s="25">
        <v>5</v>
      </c>
      <c r="T26" s="25">
        <v>0</v>
      </c>
      <c r="U26" s="25"/>
      <c r="V26" s="25"/>
      <c r="W26" s="25"/>
    </row>
    <row r="27" spans="1:23" ht="20.100000000000001" customHeight="1" x14ac:dyDescent="0.2">
      <c r="A27" s="23">
        <v>46167</v>
      </c>
      <c r="B27" s="24">
        <v>2866</v>
      </c>
      <c r="C27" s="24">
        <v>1131</v>
      </c>
      <c r="D27" s="25"/>
      <c r="E27" s="25"/>
      <c r="F27" s="25">
        <v>40</v>
      </c>
      <c r="G27" s="25">
        <v>5</v>
      </c>
      <c r="H27" s="29">
        <f t="shared" si="0"/>
        <v>0.125</v>
      </c>
      <c r="I27" s="25">
        <v>46</v>
      </c>
      <c r="J27" s="24"/>
      <c r="K27" s="25"/>
      <c r="L27" s="25"/>
      <c r="M27" s="25"/>
      <c r="N27" s="25"/>
      <c r="O27" s="25"/>
      <c r="P27" s="25"/>
      <c r="Q27" s="25"/>
      <c r="R27" s="25">
        <v>205</v>
      </c>
      <c r="S27" s="25">
        <v>3</v>
      </c>
      <c r="T27" s="25">
        <v>0</v>
      </c>
      <c r="U27" s="25"/>
      <c r="V27" s="25"/>
      <c r="W27" s="25"/>
    </row>
    <row r="28" spans="1:23" ht="20.100000000000001" customHeight="1" x14ac:dyDescent="0.2">
      <c r="A28" s="23">
        <v>46168</v>
      </c>
      <c r="B28" s="24">
        <v>1931</v>
      </c>
      <c r="C28" s="24">
        <v>838</v>
      </c>
      <c r="D28" s="25"/>
      <c r="E28" s="25"/>
      <c r="F28" s="25">
        <v>120</v>
      </c>
      <c r="G28" s="25">
        <v>15</v>
      </c>
      <c r="H28" s="29">
        <f t="shared" si="0"/>
        <v>0.125</v>
      </c>
      <c r="I28" s="25">
        <v>24</v>
      </c>
      <c r="J28" s="24"/>
      <c r="K28" s="25"/>
      <c r="L28" s="25"/>
      <c r="M28" s="25"/>
      <c r="N28" s="25"/>
      <c r="O28" s="25"/>
      <c r="P28" s="25"/>
      <c r="Q28" s="25"/>
      <c r="R28" s="25">
        <v>212</v>
      </c>
      <c r="S28" s="25">
        <v>3</v>
      </c>
      <c r="T28" s="25">
        <v>0</v>
      </c>
      <c r="U28" s="25"/>
      <c r="V28" s="25"/>
      <c r="W28" s="25"/>
    </row>
    <row r="29" spans="1:23" ht="20.100000000000001" customHeight="1" x14ac:dyDescent="0.2">
      <c r="A29" s="23">
        <v>46169</v>
      </c>
      <c r="B29" s="24">
        <v>1654</v>
      </c>
      <c r="C29" s="24">
        <v>692</v>
      </c>
      <c r="D29" s="25"/>
      <c r="E29" s="25"/>
      <c r="F29" s="25">
        <v>120</v>
      </c>
      <c r="G29" s="25">
        <v>12</v>
      </c>
      <c r="H29" s="29">
        <f t="shared" si="0"/>
        <v>0.1</v>
      </c>
      <c r="I29" s="25">
        <v>24</v>
      </c>
      <c r="J29" s="24"/>
      <c r="K29" s="25"/>
      <c r="L29" s="25"/>
      <c r="M29" s="25"/>
      <c r="N29" s="25"/>
      <c r="O29" s="25"/>
      <c r="P29" s="25"/>
      <c r="Q29" s="25"/>
      <c r="R29" s="25">
        <v>283</v>
      </c>
      <c r="S29" s="25">
        <v>4</v>
      </c>
      <c r="T29" s="25">
        <v>0</v>
      </c>
      <c r="U29" s="25"/>
      <c r="V29" s="25"/>
      <c r="W29" s="25"/>
    </row>
    <row r="30" spans="1:23" ht="20.100000000000001" customHeight="1" x14ac:dyDescent="0.2">
      <c r="A30" s="23">
        <v>46170</v>
      </c>
      <c r="B30" s="24">
        <v>964</v>
      </c>
      <c r="C30" s="24">
        <v>449</v>
      </c>
      <c r="D30" s="25"/>
      <c r="E30" s="25"/>
      <c r="F30" s="25">
        <v>120</v>
      </c>
      <c r="G30" s="25">
        <v>17</v>
      </c>
      <c r="H30" s="29">
        <f t="shared" si="0"/>
        <v>0.14166666666666666</v>
      </c>
      <c r="I30" s="25">
        <v>8</v>
      </c>
      <c r="J30" s="24"/>
      <c r="K30" s="25"/>
      <c r="L30" s="25"/>
      <c r="M30" s="25"/>
      <c r="N30" s="25"/>
      <c r="O30" s="25"/>
      <c r="P30" s="25"/>
      <c r="Q30" s="25"/>
      <c r="R30" s="25">
        <v>311</v>
      </c>
      <c r="S30" s="25">
        <v>3</v>
      </c>
      <c r="T30" s="25">
        <v>0</v>
      </c>
      <c r="U30" s="25"/>
      <c r="V30" s="25"/>
      <c r="W30" s="25"/>
    </row>
    <row r="31" spans="1:23" ht="20.100000000000001" customHeight="1" x14ac:dyDescent="0.2">
      <c r="A31" s="23">
        <v>46171</v>
      </c>
      <c r="B31" s="24">
        <v>714</v>
      </c>
      <c r="C31" s="24">
        <v>379</v>
      </c>
      <c r="D31" s="25"/>
      <c r="E31" s="25"/>
      <c r="F31" s="25">
        <v>120</v>
      </c>
      <c r="G31" s="25">
        <v>12</v>
      </c>
      <c r="H31" s="29">
        <f t="shared" si="0"/>
        <v>0.1</v>
      </c>
      <c r="I31" s="25">
        <v>5</v>
      </c>
      <c r="J31" s="24"/>
      <c r="K31" s="25"/>
      <c r="L31" s="25"/>
      <c r="M31" s="25"/>
      <c r="N31" s="25"/>
      <c r="O31" s="25"/>
      <c r="P31" s="25"/>
      <c r="Q31" s="25"/>
      <c r="R31" s="25">
        <v>239</v>
      </c>
      <c r="S31" s="25">
        <v>2</v>
      </c>
      <c r="T31" s="25">
        <v>0</v>
      </c>
      <c r="U31" s="25"/>
      <c r="V31" s="25"/>
      <c r="W31" s="25"/>
    </row>
    <row r="32" spans="1:23" ht="20.100000000000001" customHeight="1" x14ac:dyDescent="0.2">
      <c r="A32" s="23">
        <v>46172</v>
      </c>
      <c r="B32" s="26">
        <v>1971</v>
      </c>
      <c r="C32" s="26">
        <v>910</v>
      </c>
      <c r="D32" s="27"/>
      <c r="E32" s="27"/>
      <c r="F32" s="27">
        <v>120</v>
      </c>
      <c r="G32" s="27">
        <v>18</v>
      </c>
      <c r="H32" s="29">
        <f t="shared" si="0"/>
        <v>0.15</v>
      </c>
      <c r="I32" s="27">
        <v>27</v>
      </c>
      <c r="J32" s="26"/>
      <c r="K32" s="27"/>
      <c r="L32" s="27"/>
      <c r="M32" s="27"/>
      <c r="N32" s="27"/>
      <c r="O32" s="27"/>
      <c r="P32" s="27"/>
      <c r="Q32" s="27"/>
      <c r="R32" s="27">
        <v>228</v>
      </c>
      <c r="S32" s="27">
        <v>0</v>
      </c>
      <c r="T32" s="27">
        <v>0</v>
      </c>
    </row>
    <row r="33" spans="1:20" ht="19.5" customHeight="1" x14ac:dyDescent="0.2">
      <c r="A33" s="28">
        <v>46173</v>
      </c>
      <c r="B33" s="26">
        <v>2223</v>
      </c>
      <c r="C33" s="26">
        <v>993</v>
      </c>
      <c r="D33" s="27"/>
      <c r="E33" s="27"/>
      <c r="F33" s="27">
        <v>120</v>
      </c>
      <c r="G33" s="27">
        <v>17</v>
      </c>
      <c r="H33" s="29">
        <f t="shared" si="0"/>
        <v>0.14166666666666666</v>
      </c>
      <c r="I33" s="27">
        <v>30</v>
      </c>
      <c r="J33" s="26"/>
      <c r="K33" s="27"/>
      <c r="L33" s="27"/>
      <c r="M33" s="27"/>
      <c r="N33" s="27"/>
      <c r="O33" s="27"/>
      <c r="P33" s="27"/>
      <c r="Q33" s="27"/>
      <c r="R33" s="27">
        <v>322</v>
      </c>
      <c r="S33" s="27">
        <v>4</v>
      </c>
      <c r="T33" s="27">
        <v>0</v>
      </c>
    </row>
  </sheetData>
  <mergeCells count="8">
    <mergeCell ref="V1:V2"/>
    <mergeCell ref="W1:W2"/>
    <mergeCell ref="A1:A2"/>
    <mergeCell ref="B1:I1"/>
    <mergeCell ref="J1:M1"/>
    <mergeCell ref="N1:Q1"/>
    <mergeCell ref="R1:T1"/>
    <mergeCell ref="U1:U2"/>
  </mergeCells>
  <phoneticPr fontId="10"/>
  <pageMargins left="0.75" right="0.75" top="1" bottom="1" header="0.5" footer="0.5"/>
  <pageSetup paperSize="9" scale="57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5B7CB-885D-4B7A-9273-553A0C5AF250}">
  <dimension ref="A1:W33"/>
  <sheetViews>
    <sheetView view="pageBreakPreview" zoomScale="90" zoomScaleNormal="100" zoomScaleSheetLayoutView="90" workbookViewId="0">
      <pane ySplit="1" topLeftCell="A2" activePane="bottomLeft" state="frozen"/>
      <selection pane="bottomLeft" activeCell="E2" sqref="E2"/>
    </sheetView>
  </sheetViews>
  <sheetFormatPr defaultColWidth="8.875" defaultRowHeight="13.5" x14ac:dyDescent="0.15"/>
  <cols>
    <col min="1" max="1" width="9.5" style="14" bestFit="1" customWidth="1"/>
    <col min="2" max="2" width="6.375" style="17" bestFit="1" customWidth="1"/>
    <col min="3" max="3" width="8" style="17" bestFit="1" customWidth="1"/>
    <col min="4" max="4" width="13.75" style="11" bestFit="1" customWidth="1"/>
    <col min="5" max="6" width="17" style="11" customWidth="1"/>
    <col min="7" max="8" width="13.375" style="11" customWidth="1"/>
    <col min="9" max="9" width="12.75" style="11" customWidth="1"/>
    <col min="10" max="10" width="11.125" style="17" customWidth="1"/>
    <col min="11" max="13" width="7" style="11" customWidth="1"/>
    <col min="14" max="14" width="9.875" style="11" bestFit="1" customWidth="1"/>
    <col min="15" max="15" width="5.875" style="11" bestFit="1" customWidth="1"/>
    <col min="16" max="16" width="4.75" style="11" bestFit="1" customWidth="1"/>
    <col min="17" max="17" width="5.375" style="11" bestFit="1" customWidth="1"/>
    <col min="18" max="18" width="9.625" style="11" bestFit="1" customWidth="1"/>
    <col min="19" max="19" width="11.75" style="11" customWidth="1"/>
    <col min="20" max="20" width="9" style="11" bestFit="1" customWidth="1"/>
    <col min="21" max="21" width="5.375" style="11" bestFit="1" customWidth="1"/>
    <col min="22" max="22" width="22.5" style="11" customWidth="1"/>
    <col min="23" max="23" width="4.125" style="11" bestFit="1" customWidth="1"/>
    <col min="24" max="16384" width="8.875" style="11"/>
  </cols>
  <sheetData>
    <row r="1" spans="1:23" s="35" customFormat="1" ht="23.25" customHeight="1" x14ac:dyDescent="0.15">
      <c r="A1" s="54" t="s">
        <v>225</v>
      </c>
      <c r="B1" s="56" t="s">
        <v>226</v>
      </c>
      <c r="C1" s="57"/>
      <c r="D1" s="57"/>
      <c r="E1" s="57"/>
      <c r="F1" s="57"/>
      <c r="G1" s="57"/>
      <c r="H1" s="57"/>
      <c r="I1" s="58"/>
      <c r="J1" s="56" t="s">
        <v>227</v>
      </c>
      <c r="K1" s="57"/>
      <c r="L1" s="57"/>
      <c r="M1" s="58"/>
      <c r="N1" s="59" t="s">
        <v>228</v>
      </c>
      <c r="O1" s="60"/>
      <c r="P1" s="60"/>
      <c r="Q1" s="61"/>
      <c r="R1" s="59" t="s">
        <v>229</v>
      </c>
      <c r="S1" s="60"/>
      <c r="T1" s="61"/>
      <c r="U1" s="52" t="s">
        <v>230</v>
      </c>
      <c r="V1" s="52" t="s">
        <v>231</v>
      </c>
      <c r="W1" s="52" t="s">
        <v>232</v>
      </c>
    </row>
    <row r="2" spans="1:23" s="35" customFormat="1" ht="23.25" customHeight="1" x14ac:dyDescent="0.15">
      <c r="A2" s="55"/>
      <c r="B2" s="36" t="s">
        <v>233</v>
      </c>
      <c r="C2" s="36" t="s">
        <v>234</v>
      </c>
      <c r="D2" s="37" t="s">
        <v>235</v>
      </c>
      <c r="E2" s="37" t="s">
        <v>236</v>
      </c>
      <c r="F2" s="38" t="s">
        <v>237</v>
      </c>
      <c r="G2" s="37" t="s">
        <v>238</v>
      </c>
      <c r="H2" s="37" t="s">
        <v>239</v>
      </c>
      <c r="I2" s="37" t="s">
        <v>240</v>
      </c>
      <c r="J2" s="36" t="s">
        <v>241</v>
      </c>
      <c r="K2" s="37" t="s">
        <v>242</v>
      </c>
      <c r="L2" s="37" t="s">
        <v>243</v>
      </c>
      <c r="M2" s="37" t="s">
        <v>244</v>
      </c>
      <c r="N2" s="37" t="s">
        <v>241</v>
      </c>
      <c r="O2" s="37" t="s">
        <v>242</v>
      </c>
      <c r="P2" s="37" t="s">
        <v>243</v>
      </c>
      <c r="Q2" s="37" t="s">
        <v>244</v>
      </c>
      <c r="R2" s="37" t="s">
        <v>245</v>
      </c>
      <c r="S2" s="37" t="s">
        <v>246</v>
      </c>
      <c r="T2" s="37" t="s">
        <v>247</v>
      </c>
      <c r="U2" s="53"/>
      <c r="V2" s="53"/>
      <c r="W2" s="53"/>
    </row>
    <row r="3" spans="1:23" ht="20.100000000000001" customHeight="1" x14ac:dyDescent="0.2">
      <c r="A3" s="23">
        <v>46174</v>
      </c>
      <c r="B3" s="24">
        <v>1581</v>
      </c>
      <c r="C3" s="24">
        <v>798</v>
      </c>
      <c r="D3" s="25"/>
      <c r="E3" s="25"/>
      <c r="F3" s="25">
        <v>80</v>
      </c>
      <c r="G3" s="25">
        <v>24</v>
      </c>
      <c r="H3" s="29">
        <f>G3/F3</f>
        <v>0.3</v>
      </c>
      <c r="I3" s="25">
        <v>17</v>
      </c>
      <c r="J3" s="24"/>
      <c r="K3" s="25"/>
      <c r="L3" s="25"/>
      <c r="M3" s="25"/>
      <c r="N3" s="25"/>
      <c r="O3" s="25"/>
      <c r="P3" s="25"/>
      <c r="Q3" s="25"/>
      <c r="R3" s="25">
        <v>322</v>
      </c>
      <c r="S3" s="25">
        <v>4</v>
      </c>
      <c r="T3" s="25">
        <v>0</v>
      </c>
      <c r="U3" s="25"/>
      <c r="V3" s="25"/>
      <c r="W3" s="25"/>
    </row>
    <row r="4" spans="1:23" ht="20.100000000000001" customHeight="1" x14ac:dyDescent="0.2">
      <c r="A4" s="23">
        <v>46175</v>
      </c>
      <c r="B4" s="24">
        <v>1371</v>
      </c>
      <c r="C4" s="24">
        <v>781</v>
      </c>
      <c r="D4" s="25"/>
      <c r="E4" s="25"/>
      <c r="F4" s="25">
        <v>80</v>
      </c>
      <c r="G4" s="25">
        <v>21</v>
      </c>
      <c r="H4" s="29">
        <f t="shared" ref="H4:H32" si="0">G4/F4</f>
        <v>0.26250000000000001</v>
      </c>
      <c r="I4" s="25">
        <v>12</v>
      </c>
      <c r="J4" s="24"/>
      <c r="K4" s="25"/>
      <c r="L4" s="25"/>
      <c r="M4" s="25"/>
      <c r="N4" s="25"/>
      <c r="O4" s="25"/>
      <c r="P4" s="25"/>
      <c r="Q4" s="25"/>
      <c r="R4" s="25">
        <v>285</v>
      </c>
      <c r="S4" s="25">
        <v>2</v>
      </c>
      <c r="T4" s="25">
        <v>0</v>
      </c>
      <c r="U4" s="25"/>
      <c r="V4" s="25"/>
      <c r="W4" s="25"/>
    </row>
    <row r="5" spans="1:23" ht="20.100000000000001" customHeight="1" x14ac:dyDescent="0.2">
      <c r="A5" s="23">
        <v>46176</v>
      </c>
      <c r="B5" s="24">
        <v>691</v>
      </c>
      <c r="C5" s="24">
        <v>350</v>
      </c>
      <c r="D5" s="25"/>
      <c r="E5" s="25"/>
      <c r="F5" s="25">
        <v>80</v>
      </c>
      <c r="G5" s="25">
        <v>13</v>
      </c>
      <c r="H5" s="29">
        <f t="shared" si="0"/>
        <v>0.16250000000000001</v>
      </c>
      <c r="I5" s="25">
        <v>3</v>
      </c>
      <c r="J5" s="24"/>
      <c r="K5" s="25"/>
      <c r="L5" s="25"/>
      <c r="M5" s="25"/>
      <c r="N5" s="25"/>
      <c r="O5" s="25"/>
      <c r="P5" s="25"/>
      <c r="Q5" s="25"/>
      <c r="R5" s="25">
        <v>269</v>
      </c>
      <c r="S5" s="25">
        <v>3</v>
      </c>
      <c r="T5" s="25">
        <v>0</v>
      </c>
      <c r="U5" s="25"/>
      <c r="V5" s="25"/>
      <c r="W5" s="25"/>
    </row>
    <row r="6" spans="1:23" ht="20.100000000000001" customHeight="1" x14ac:dyDescent="0.2">
      <c r="A6" s="23">
        <v>46177</v>
      </c>
      <c r="B6" s="24">
        <v>685</v>
      </c>
      <c r="C6" s="24">
        <v>231</v>
      </c>
      <c r="D6" s="25"/>
      <c r="E6" s="25"/>
      <c r="F6" s="25">
        <v>80</v>
      </c>
      <c r="G6" s="25">
        <v>5</v>
      </c>
      <c r="H6" s="29">
        <f t="shared" si="0"/>
        <v>6.25E-2</v>
      </c>
      <c r="I6" s="25">
        <v>10</v>
      </c>
      <c r="J6" s="24"/>
      <c r="K6" s="25"/>
      <c r="L6" s="25"/>
      <c r="M6" s="25"/>
      <c r="N6" s="25"/>
      <c r="O6" s="25"/>
      <c r="P6" s="25"/>
      <c r="Q6" s="25"/>
      <c r="R6" s="25">
        <v>257</v>
      </c>
      <c r="S6" s="25">
        <v>2</v>
      </c>
      <c r="T6" s="25">
        <v>0</v>
      </c>
      <c r="U6" s="25"/>
      <c r="V6" s="25"/>
      <c r="W6" s="25"/>
    </row>
    <row r="7" spans="1:23" ht="20.100000000000001" customHeight="1" x14ac:dyDescent="0.2">
      <c r="A7" s="23">
        <v>46178</v>
      </c>
      <c r="B7" s="24">
        <v>1655</v>
      </c>
      <c r="C7" s="24">
        <v>785</v>
      </c>
      <c r="D7" s="25"/>
      <c r="E7" s="25"/>
      <c r="F7" s="25">
        <v>80</v>
      </c>
      <c r="G7" s="25">
        <v>11</v>
      </c>
      <c r="H7" s="29">
        <f t="shared" si="0"/>
        <v>0.13750000000000001</v>
      </c>
      <c r="I7" s="25">
        <v>30</v>
      </c>
      <c r="J7" s="24"/>
      <c r="K7" s="25"/>
      <c r="L7" s="25"/>
      <c r="M7" s="25"/>
      <c r="N7" s="25"/>
      <c r="O7" s="25"/>
      <c r="P7" s="25"/>
      <c r="Q7" s="25"/>
      <c r="R7" s="25">
        <v>255</v>
      </c>
      <c r="S7" s="25">
        <v>3</v>
      </c>
      <c r="T7" s="25">
        <v>0</v>
      </c>
      <c r="U7" s="25"/>
      <c r="V7" s="25"/>
      <c r="W7" s="25"/>
    </row>
    <row r="8" spans="1:23" ht="20.100000000000001" customHeight="1" x14ac:dyDescent="0.2">
      <c r="A8" s="23">
        <v>46179</v>
      </c>
      <c r="B8" s="24">
        <v>1795</v>
      </c>
      <c r="C8" s="24">
        <v>809</v>
      </c>
      <c r="D8" s="25"/>
      <c r="E8" s="25"/>
      <c r="F8" s="25">
        <v>80</v>
      </c>
      <c r="G8" s="25">
        <v>12</v>
      </c>
      <c r="H8" s="29">
        <f t="shared" si="0"/>
        <v>0.15</v>
      </c>
      <c r="I8" s="25">
        <v>34</v>
      </c>
      <c r="J8" s="24"/>
      <c r="K8" s="25"/>
      <c r="L8" s="25"/>
      <c r="M8" s="25"/>
      <c r="N8" s="25"/>
      <c r="O8" s="25"/>
      <c r="P8" s="25"/>
      <c r="Q8" s="25"/>
      <c r="R8" s="25">
        <v>277</v>
      </c>
      <c r="S8" s="25">
        <v>2</v>
      </c>
      <c r="T8" s="25">
        <v>0</v>
      </c>
      <c r="U8" s="25"/>
      <c r="V8" s="25"/>
      <c r="W8" s="25"/>
    </row>
    <row r="9" spans="1:23" ht="20.100000000000001" customHeight="1" x14ac:dyDescent="0.2">
      <c r="A9" s="23">
        <v>46180</v>
      </c>
      <c r="B9" s="24">
        <v>1298</v>
      </c>
      <c r="C9" s="24">
        <v>662</v>
      </c>
      <c r="D9" s="25"/>
      <c r="E9" s="25"/>
      <c r="F9" s="25">
        <v>80</v>
      </c>
      <c r="G9" s="25">
        <v>9</v>
      </c>
      <c r="H9" s="29">
        <f t="shared" si="0"/>
        <v>0.1125</v>
      </c>
      <c r="I9" s="25">
        <v>26</v>
      </c>
      <c r="J9" s="24"/>
      <c r="K9" s="25"/>
      <c r="L9" s="25"/>
      <c r="M9" s="25"/>
      <c r="N9" s="25"/>
      <c r="O9" s="25"/>
      <c r="P9" s="25"/>
      <c r="Q9" s="25"/>
      <c r="R9" s="25">
        <v>332</v>
      </c>
      <c r="S9" s="25">
        <v>2</v>
      </c>
      <c r="T9" s="25">
        <v>0</v>
      </c>
      <c r="U9" s="25"/>
      <c r="V9" s="25"/>
      <c r="W9" s="25"/>
    </row>
    <row r="10" spans="1:23" ht="20.100000000000001" customHeight="1" x14ac:dyDescent="0.2">
      <c r="A10" s="23">
        <v>46181</v>
      </c>
      <c r="B10" s="24">
        <v>2174</v>
      </c>
      <c r="C10" s="24">
        <v>810</v>
      </c>
      <c r="D10" s="25"/>
      <c r="E10" s="25"/>
      <c r="F10" s="25">
        <v>80</v>
      </c>
      <c r="G10" s="25">
        <v>15</v>
      </c>
      <c r="H10" s="29">
        <f t="shared" si="0"/>
        <v>0.1875</v>
      </c>
      <c r="I10" s="25">
        <v>31</v>
      </c>
      <c r="J10" s="24"/>
      <c r="K10" s="25"/>
      <c r="L10" s="25"/>
      <c r="M10" s="25"/>
      <c r="N10" s="25"/>
      <c r="O10" s="25"/>
      <c r="P10" s="25"/>
      <c r="Q10" s="25"/>
      <c r="R10" s="25">
        <v>295</v>
      </c>
      <c r="S10" s="25">
        <v>2</v>
      </c>
      <c r="T10" s="25">
        <v>0</v>
      </c>
      <c r="U10" s="25"/>
      <c r="V10" s="25"/>
      <c r="W10" s="25"/>
    </row>
    <row r="11" spans="1:23" ht="20.100000000000001" customHeight="1" x14ac:dyDescent="0.2">
      <c r="A11" s="23">
        <v>46182</v>
      </c>
      <c r="B11" s="24">
        <v>2142</v>
      </c>
      <c r="C11" s="24">
        <v>828</v>
      </c>
      <c r="D11" s="25"/>
      <c r="E11" s="25"/>
      <c r="F11" s="25">
        <v>80</v>
      </c>
      <c r="G11" s="25">
        <v>15</v>
      </c>
      <c r="H11" s="29">
        <f t="shared" si="0"/>
        <v>0.1875</v>
      </c>
      <c r="I11" s="25">
        <v>24</v>
      </c>
      <c r="J11" s="24"/>
      <c r="K11" s="25"/>
      <c r="L11" s="25"/>
      <c r="M11" s="25"/>
      <c r="N11" s="25"/>
      <c r="O11" s="25"/>
      <c r="P11" s="25"/>
      <c r="Q11" s="25"/>
      <c r="R11" s="25">
        <v>391</v>
      </c>
      <c r="S11" s="25">
        <v>3</v>
      </c>
      <c r="T11" s="25">
        <v>0</v>
      </c>
      <c r="U11" s="25"/>
      <c r="V11" s="25"/>
      <c r="W11" s="25"/>
    </row>
    <row r="12" spans="1:23" ht="20.100000000000001" customHeight="1" x14ac:dyDescent="0.2">
      <c r="A12" s="23">
        <v>46183</v>
      </c>
      <c r="B12" s="24">
        <v>1074</v>
      </c>
      <c r="C12" s="24">
        <v>483</v>
      </c>
      <c r="D12" s="25"/>
      <c r="E12" s="25"/>
      <c r="F12" s="25">
        <v>80</v>
      </c>
      <c r="G12" s="25">
        <v>19</v>
      </c>
      <c r="H12" s="29">
        <f t="shared" si="0"/>
        <v>0.23749999999999999</v>
      </c>
      <c r="I12" s="25">
        <v>8</v>
      </c>
      <c r="J12" s="24"/>
      <c r="K12" s="25"/>
      <c r="L12" s="25"/>
      <c r="M12" s="25"/>
      <c r="N12" s="25"/>
      <c r="O12" s="25"/>
      <c r="P12" s="25"/>
      <c r="Q12" s="25"/>
      <c r="R12" s="25">
        <v>427</v>
      </c>
      <c r="S12" s="25">
        <v>8</v>
      </c>
      <c r="T12" s="25">
        <v>0</v>
      </c>
      <c r="U12" s="25"/>
      <c r="V12" s="25"/>
      <c r="W12" s="25"/>
    </row>
    <row r="13" spans="1:23" ht="20.100000000000001" customHeight="1" x14ac:dyDescent="0.2">
      <c r="A13" s="23">
        <v>46184</v>
      </c>
      <c r="B13" s="24">
        <v>624</v>
      </c>
      <c r="C13" s="24">
        <v>168</v>
      </c>
      <c r="D13" s="25"/>
      <c r="E13" s="25"/>
      <c r="F13" s="25">
        <v>80</v>
      </c>
      <c r="G13" s="25">
        <v>10</v>
      </c>
      <c r="H13" s="29">
        <f t="shared" si="0"/>
        <v>0.125</v>
      </c>
      <c r="I13" s="25">
        <v>2</v>
      </c>
      <c r="J13" s="24"/>
      <c r="K13" s="25"/>
      <c r="L13" s="25"/>
      <c r="M13" s="25"/>
      <c r="N13" s="25"/>
      <c r="O13" s="25"/>
      <c r="P13" s="25"/>
      <c r="Q13" s="25"/>
      <c r="R13" s="25">
        <v>318</v>
      </c>
      <c r="S13" s="25">
        <v>6</v>
      </c>
      <c r="T13" s="25">
        <v>0</v>
      </c>
      <c r="U13" s="25"/>
      <c r="V13" s="25"/>
      <c r="W13" s="25"/>
    </row>
    <row r="14" spans="1:23" ht="20.100000000000001" customHeight="1" x14ac:dyDescent="0.2">
      <c r="A14" s="23">
        <v>46185</v>
      </c>
      <c r="B14" s="24">
        <v>601</v>
      </c>
      <c r="C14" s="24">
        <v>276</v>
      </c>
      <c r="D14" s="25"/>
      <c r="E14" s="25"/>
      <c r="F14" s="25">
        <v>80</v>
      </c>
      <c r="G14" s="25">
        <v>13</v>
      </c>
      <c r="H14" s="29">
        <f t="shared" si="0"/>
        <v>0.16250000000000001</v>
      </c>
      <c r="I14" s="25">
        <v>3</v>
      </c>
      <c r="J14" s="24"/>
      <c r="K14" s="25"/>
      <c r="L14" s="25"/>
      <c r="M14" s="25"/>
      <c r="N14" s="25"/>
      <c r="O14" s="25"/>
      <c r="P14" s="25"/>
      <c r="Q14" s="25"/>
      <c r="R14" s="25">
        <v>295</v>
      </c>
      <c r="S14" s="25">
        <v>2</v>
      </c>
      <c r="T14" s="25">
        <v>0</v>
      </c>
      <c r="U14" s="25"/>
      <c r="V14" s="25"/>
      <c r="W14" s="25"/>
    </row>
    <row r="15" spans="1:23" ht="20.100000000000001" customHeight="1" x14ac:dyDescent="0.2">
      <c r="A15" s="23">
        <v>46186</v>
      </c>
      <c r="B15" s="24">
        <v>931</v>
      </c>
      <c r="C15" s="24">
        <v>611</v>
      </c>
      <c r="D15" s="25"/>
      <c r="E15" s="25"/>
      <c r="F15" s="25">
        <v>80</v>
      </c>
      <c r="G15" s="25">
        <v>18</v>
      </c>
      <c r="H15" s="29">
        <f t="shared" si="0"/>
        <v>0.22500000000000001</v>
      </c>
      <c r="I15" s="25">
        <v>11</v>
      </c>
      <c r="J15" s="24"/>
      <c r="K15" s="25"/>
      <c r="L15" s="25"/>
      <c r="M15" s="25"/>
      <c r="N15" s="25"/>
      <c r="O15" s="25"/>
      <c r="P15" s="25"/>
      <c r="Q15" s="25"/>
      <c r="R15" s="25">
        <v>227</v>
      </c>
      <c r="S15" s="25">
        <v>2</v>
      </c>
      <c r="T15" s="25">
        <v>0</v>
      </c>
      <c r="U15" s="25"/>
      <c r="V15" s="25"/>
      <c r="W15" s="25"/>
    </row>
    <row r="16" spans="1:23" ht="20.100000000000001" customHeight="1" x14ac:dyDescent="0.2">
      <c r="A16" s="23">
        <v>46187</v>
      </c>
      <c r="B16" s="24">
        <v>5377</v>
      </c>
      <c r="C16" s="24">
        <v>702</v>
      </c>
      <c r="D16" s="25"/>
      <c r="E16" s="25"/>
      <c r="F16" s="25">
        <v>80</v>
      </c>
      <c r="G16" s="25">
        <v>3</v>
      </c>
      <c r="H16" s="29">
        <f t="shared" si="0"/>
        <v>3.7499999999999999E-2</v>
      </c>
      <c r="I16" s="25">
        <v>35</v>
      </c>
      <c r="J16" s="24"/>
      <c r="K16" s="25"/>
      <c r="L16" s="25"/>
      <c r="M16" s="25"/>
      <c r="N16" s="25"/>
      <c r="O16" s="25"/>
      <c r="P16" s="25"/>
      <c r="Q16" s="25"/>
      <c r="R16" s="25">
        <v>159</v>
      </c>
      <c r="S16" s="25">
        <v>1</v>
      </c>
      <c r="T16" s="25">
        <v>0</v>
      </c>
      <c r="U16" s="25"/>
      <c r="V16" s="25"/>
      <c r="W16" s="25"/>
    </row>
    <row r="17" spans="1:23" ht="20.100000000000001" customHeight="1" x14ac:dyDescent="0.2">
      <c r="A17" s="23">
        <v>46188</v>
      </c>
      <c r="B17" s="24">
        <v>4942</v>
      </c>
      <c r="C17" s="24">
        <v>433</v>
      </c>
      <c r="D17" s="25"/>
      <c r="E17" s="25"/>
      <c r="F17" s="25">
        <v>80</v>
      </c>
      <c r="G17" s="25">
        <v>9</v>
      </c>
      <c r="H17" s="29">
        <f t="shared" si="0"/>
        <v>0.1125</v>
      </c>
      <c r="I17" s="25">
        <v>27</v>
      </c>
      <c r="J17" s="24"/>
      <c r="K17" s="25"/>
      <c r="L17" s="25"/>
      <c r="M17" s="25"/>
      <c r="N17" s="25"/>
      <c r="O17" s="25"/>
      <c r="P17" s="25"/>
      <c r="Q17" s="25"/>
      <c r="R17" s="25">
        <v>264</v>
      </c>
      <c r="S17" s="25">
        <v>3</v>
      </c>
      <c r="T17" s="25">
        <v>0</v>
      </c>
      <c r="U17" s="25"/>
      <c r="V17" s="25"/>
      <c r="W17" s="25"/>
    </row>
    <row r="18" spans="1:23" ht="20.100000000000001" customHeight="1" x14ac:dyDescent="0.2">
      <c r="A18" s="23">
        <v>46189</v>
      </c>
      <c r="B18" s="24">
        <v>204</v>
      </c>
      <c r="C18" s="24">
        <v>82</v>
      </c>
      <c r="D18" s="25"/>
      <c r="E18" s="25"/>
      <c r="F18" s="25">
        <v>80</v>
      </c>
      <c r="G18" s="25">
        <v>6</v>
      </c>
      <c r="H18" s="29">
        <f t="shared" si="0"/>
        <v>7.4999999999999997E-2</v>
      </c>
      <c r="I18" s="25">
        <v>1</v>
      </c>
      <c r="J18" s="24"/>
      <c r="K18" s="25"/>
      <c r="L18" s="25"/>
      <c r="M18" s="25"/>
      <c r="N18" s="25"/>
      <c r="O18" s="25"/>
      <c r="P18" s="25"/>
      <c r="Q18" s="25"/>
      <c r="R18" s="25">
        <v>230</v>
      </c>
      <c r="S18" s="25">
        <v>3</v>
      </c>
      <c r="T18" s="25">
        <v>0</v>
      </c>
      <c r="U18" s="25"/>
      <c r="V18" s="25"/>
      <c r="W18" s="25"/>
    </row>
    <row r="19" spans="1:23" ht="20.100000000000001" customHeight="1" x14ac:dyDescent="0.2">
      <c r="A19" s="23">
        <v>46190</v>
      </c>
      <c r="B19" s="24">
        <v>1338</v>
      </c>
      <c r="C19" s="24">
        <v>530</v>
      </c>
      <c r="D19" s="25"/>
      <c r="E19" s="25"/>
      <c r="F19" s="25">
        <v>80</v>
      </c>
      <c r="G19" s="25">
        <v>6</v>
      </c>
      <c r="H19" s="29">
        <f t="shared" si="0"/>
        <v>7.4999999999999997E-2</v>
      </c>
      <c r="I19" s="25">
        <v>12</v>
      </c>
      <c r="J19" s="24"/>
      <c r="K19" s="25"/>
      <c r="L19" s="25"/>
      <c r="M19" s="25"/>
      <c r="N19" s="25"/>
      <c r="O19" s="25"/>
      <c r="P19" s="25"/>
      <c r="Q19" s="25"/>
      <c r="R19" s="25">
        <v>56</v>
      </c>
      <c r="S19" s="25">
        <v>1</v>
      </c>
      <c r="T19" s="25">
        <v>0</v>
      </c>
      <c r="U19" s="25"/>
      <c r="V19" s="25"/>
      <c r="W19" s="25"/>
    </row>
    <row r="20" spans="1:23" ht="20.100000000000001" customHeight="1" x14ac:dyDescent="0.2">
      <c r="A20" s="23">
        <v>46191</v>
      </c>
      <c r="B20" s="24">
        <v>3614</v>
      </c>
      <c r="C20" s="24">
        <v>987</v>
      </c>
      <c r="D20" s="25"/>
      <c r="E20" s="25"/>
      <c r="F20" s="25">
        <v>80</v>
      </c>
      <c r="G20" s="25">
        <v>6</v>
      </c>
      <c r="H20" s="29">
        <f t="shared" si="0"/>
        <v>7.4999999999999997E-2</v>
      </c>
      <c r="I20" s="25">
        <v>17</v>
      </c>
      <c r="J20" s="24"/>
      <c r="K20" s="25"/>
      <c r="L20" s="25"/>
      <c r="M20" s="25"/>
      <c r="N20" s="25"/>
      <c r="O20" s="25"/>
      <c r="P20" s="25"/>
      <c r="Q20" s="25"/>
      <c r="R20" s="25">
        <v>148</v>
      </c>
      <c r="S20" s="25">
        <v>2</v>
      </c>
      <c r="T20" s="25">
        <v>0</v>
      </c>
      <c r="U20" s="25"/>
      <c r="V20" s="25"/>
      <c r="W20" s="25"/>
    </row>
    <row r="21" spans="1:23" ht="20.100000000000001" customHeight="1" x14ac:dyDescent="0.2">
      <c r="A21" s="23">
        <v>46192</v>
      </c>
      <c r="B21" s="24">
        <v>4512</v>
      </c>
      <c r="C21" s="24">
        <v>1138</v>
      </c>
      <c r="D21" s="25"/>
      <c r="E21" s="25"/>
      <c r="F21" s="25">
        <v>80</v>
      </c>
      <c r="G21" s="25">
        <v>6</v>
      </c>
      <c r="H21" s="29">
        <f t="shared" si="0"/>
        <v>7.4999999999999997E-2</v>
      </c>
      <c r="I21" s="25">
        <v>32</v>
      </c>
      <c r="J21" s="24"/>
      <c r="K21" s="25"/>
      <c r="L21" s="25"/>
      <c r="M21" s="25"/>
      <c r="N21" s="25"/>
      <c r="O21" s="25"/>
      <c r="P21" s="25"/>
      <c r="Q21" s="25"/>
      <c r="R21" s="25">
        <v>266</v>
      </c>
      <c r="S21" s="25">
        <v>2</v>
      </c>
      <c r="T21" s="25">
        <v>0</v>
      </c>
      <c r="U21" s="25"/>
      <c r="V21" s="25"/>
      <c r="W21" s="25"/>
    </row>
    <row r="22" spans="1:23" ht="20.100000000000001" customHeight="1" x14ac:dyDescent="0.2">
      <c r="A22" s="23">
        <v>46193</v>
      </c>
      <c r="B22" s="24">
        <v>3776</v>
      </c>
      <c r="C22" s="24">
        <v>969</v>
      </c>
      <c r="D22" s="25"/>
      <c r="E22" s="25"/>
      <c r="F22" s="25">
        <v>80</v>
      </c>
      <c r="G22" s="25">
        <v>8</v>
      </c>
      <c r="H22" s="29">
        <f t="shared" si="0"/>
        <v>0.1</v>
      </c>
      <c r="I22" s="25">
        <v>45</v>
      </c>
      <c r="J22" s="24"/>
      <c r="K22" s="25"/>
      <c r="L22" s="25"/>
      <c r="M22" s="25"/>
      <c r="N22" s="25"/>
      <c r="O22" s="25"/>
      <c r="P22" s="25"/>
      <c r="Q22" s="25"/>
      <c r="R22" s="25">
        <v>234</v>
      </c>
      <c r="S22" s="25">
        <v>2</v>
      </c>
      <c r="T22" s="25">
        <v>0</v>
      </c>
      <c r="U22" s="25"/>
      <c r="V22" s="25"/>
      <c r="W22" s="25"/>
    </row>
    <row r="23" spans="1:23" ht="20.100000000000001" customHeight="1" x14ac:dyDescent="0.2">
      <c r="A23" s="23">
        <v>46194</v>
      </c>
      <c r="B23" s="24">
        <v>3068</v>
      </c>
      <c r="C23" s="24">
        <v>886</v>
      </c>
      <c r="D23" s="25"/>
      <c r="E23" s="25"/>
      <c r="F23" s="25">
        <v>80</v>
      </c>
      <c r="G23" s="25">
        <v>21</v>
      </c>
      <c r="H23" s="29">
        <f t="shared" si="0"/>
        <v>0.26250000000000001</v>
      </c>
      <c r="I23" s="25">
        <v>42</v>
      </c>
      <c r="J23" s="24"/>
      <c r="K23" s="25"/>
      <c r="L23" s="25"/>
      <c r="M23" s="25"/>
      <c r="N23" s="25"/>
      <c r="O23" s="25"/>
      <c r="P23" s="25"/>
      <c r="Q23" s="25"/>
      <c r="R23" s="25">
        <v>200</v>
      </c>
      <c r="S23" s="25">
        <v>7</v>
      </c>
      <c r="T23" s="25">
        <v>0</v>
      </c>
      <c r="U23" s="25"/>
      <c r="V23" s="25"/>
      <c r="W23" s="25"/>
    </row>
    <row r="24" spans="1:23" ht="20.100000000000001" customHeight="1" x14ac:dyDescent="0.2">
      <c r="A24" s="23">
        <v>46195</v>
      </c>
      <c r="B24" s="24">
        <v>3368</v>
      </c>
      <c r="C24" s="24">
        <v>840</v>
      </c>
      <c r="D24" s="25"/>
      <c r="E24" s="25"/>
      <c r="F24" s="25">
        <v>80</v>
      </c>
      <c r="G24" s="25">
        <v>5</v>
      </c>
      <c r="H24" s="29">
        <f t="shared" si="0"/>
        <v>6.25E-2</v>
      </c>
      <c r="I24" s="25">
        <v>38</v>
      </c>
      <c r="J24" s="24"/>
      <c r="K24" s="25"/>
      <c r="L24" s="25"/>
      <c r="M24" s="25"/>
      <c r="N24" s="25"/>
      <c r="O24" s="25"/>
      <c r="P24" s="25"/>
      <c r="Q24" s="25"/>
      <c r="R24" s="25">
        <v>299</v>
      </c>
      <c r="S24" s="25">
        <v>11</v>
      </c>
      <c r="T24" s="25">
        <v>0</v>
      </c>
      <c r="U24" s="25"/>
      <c r="V24" s="25"/>
      <c r="W24" s="25"/>
    </row>
    <row r="25" spans="1:23" ht="20.100000000000001" customHeight="1" x14ac:dyDescent="0.2">
      <c r="A25" s="23">
        <v>46196</v>
      </c>
      <c r="B25" s="24">
        <v>3385</v>
      </c>
      <c r="C25" s="24">
        <v>720</v>
      </c>
      <c r="D25" s="25"/>
      <c r="E25" s="25"/>
      <c r="F25" s="25">
        <v>80</v>
      </c>
      <c r="G25" s="25">
        <v>17</v>
      </c>
      <c r="H25" s="29">
        <f t="shared" si="0"/>
        <v>0.21249999999999999</v>
      </c>
      <c r="I25" s="25">
        <v>39</v>
      </c>
      <c r="J25" s="24"/>
      <c r="K25" s="25"/>
      <c r="L25" s="25"/>
      <c r="M25" s="25"/>
      <c r="N25" s="25"/>
      <c r="O25" s="25"/>
      <c r="P25" s="25"/>
      <c r="Q25" s="25"/>
      <c r="R25" s="25">
        <v>381</v>
      </c>
      <c r="S25" s="25">
        <v>7</v>
      </c>
      <c r="T25" s="25">
        <v>0</v>
      </c>
      <c r="U25" s="25"/>
      <c r="V25" s="25"/>
      <c r="W25" s="25"/>
    </row>
    <row r="26" spans="1:23" ht="20.100000000000001" customHeight="1" x14ac:dyDescent="0.2">
      <c r="A26" s="23">
        <v>46197</v>
      </c>
      <c r="B26" s="24">
        <v>2906</v>
      </c>
      <c r="C26" s="24">
        <v>942</v>
      </c>
      <c r="D26" s="25"/>
      <c r="E26" s="25"/>
      <c r="F26" s="25">
        <v>80</v>
      </c>
      <c r="G26" s="25">
        <v>21</v>
      </c>
      <c r="H26" s="29">
        <f t="shared" si="0"/>
        <v>0.26250000000000001</v>
      </c>
      <c r="I26" s="25">
        <v>33</v>
      </c>
      <c r="J26" s="24"/>
      <c r="K26" s="25"/>
      <c r="L26" s="25"/>
      <c r="M26" s="25"/>
      <c r="N26" s="25"/>
      <c r="O26" s="25"/>
      <c r="P26" s="25"/>
      <c r="Q26" s="25"/>
      <c r="R26" s="25">
        <v>389</v>
      </c>
      <c r="S26" s="25">
        <v>2</v>
      </c>
      <c r="T26" s="25">
        <v>0</v>
      </c>
      <c r="U26" s="25"/>
      <c r="V26" s="25"/>
      <c r="W26" s="25"/>
    </row>
    <row r="27" spans="1:23" ht="20.100000000000001" customHeight="1" x14ac:dyDescent="0.2">
      <c r="A27" s="23">
        <v>46198</v>
      </c>
      <c r="B27" s="24">
        <v>2536</v>
      </c>
      <c r="C27" s="24">
        <v>886</v>
      </c>
      <c r="D27" s="25"/>
      <c r="E27" s="25"/>
      <c r="F27" s="25">
        <v>80</v>
      </c>
      <c r="G27" s="25">
        <v>17</v>
      </c>
      <c r="H27" s="29">
        <f t="shared" si="0"/>
        <v>0.21249999999999999</v>
      </c>
      <c r="I27" s="25">
        <v>45</v>
      </c>
      <c r="J27" s="24"/>
      <c r="K27" s="25"/>
      <c r="L27" s="25"/>
      <c r="M27" s="25"/>
      <c r="N27" s="25"/>
      <c r="O27" s="25"/>
      <c r="P27" s="25"/>
      <c r="Q27" s="25"/>
      <c r="R27" s="25">
        <v>354</v>
      </c>
      <c r="S27" s="25">
        <v>3</v>
      </c>
      <c r="T27" s="25">
        <v>0</v>
      </c>
      <c r="U27" s="25"/>
      <c r="V27" s="25"/>
      <c r="W27" s="25"/>
    </row>
    <row r="28" spans="1:23" ht="20.100000000000001" customHeight="1" x14ac:dyDescent="0.2">
      <c r="A28" s="23">
        <v>46199</v>
      </c>
      <c r="B28" s="24">
        <v>2665</v>
      </c>
      <c r="C28" s="24">
        <v>953</v>
      </c>
      <c r="D28" s="25"/>
      <c r="E28" s="25"/>
      <c r="F28" s="25">
        <v>120</v>
      </c>
      <c r="G28" s="25">
        <v>10</v>
      </c>
      <c r="H28" s="29">
        <f t="shared" si="0"/>
        <v>8.3333333333333329E-2</v>
      </c>
      <c r="I28" s="25">
        <v>25</v>
      </c>
      <c r="J28" s="24"/>
      <c r="K28" s="25"/>
      <c r="L28" s="25"/>
      <c r="M28" s="25"/>
      <c r="N28" s="25"/>
      <c r="O28" s="25"/>
      <c r="P28" s="25"/>
      <c r="Q28" s="25"/>
      <c r="R28" s="25">
        <v>289</v>
      </c>
      <c r="S28" s="25">
        <v>5</v>
      </c>
      <c r="T28" s="25">
        <v>0</v>
      </c>
      <c r="U28" s="25"/>
      <c r="V28" s="25"/>
      <c r="W28" s="25"/>
    </row>
    <row r="29" spans="1:23" ht="20.100000000000001" customHeight="1" x14ac:dyDescent="0.2">
      <c r="A29" s="23">
        <v>46200</v>
      </c>
      <c r="B29" s="24">
        <v>1925</v>
      </c>
      <c r="C29" s="24">
        <v>756</v>
      </c>
      <c r="D29" s="25"/>
      <c r="E29" s="25"/>
      <c r="F29" s="25">
        <v>120</v>
      </c>
      <c r="G29" s="25">
        <v>19</v>
      </c>
      <c r="H29" s="29">
        <f t="shared" si="0"/>
        <v>0.15833333333333333</v>
      </c>
      <c r="I29" s="25">
        <v>35</v>
      </c>
      <c r="J29" s="24"/>
      <c r="K29" s="25"/>
      <c r="L29" s="25"/>
      <c r="M29" s="25"/>
      <c r="N29" s="25"/>
      <c r="O29" s="25"/>
      <c r="P29" s="25"/>
      <c r="Q29" s="25"/>
      <c r="R29" s="25">
        <v>300</v>
      </c>
      <c r="S29" s="25">
        <v>2</v>
      </c>
      <c r="T29" s="25">
        <v>0</v>
      </c>
      <c r="U29" s="25"/>
      <c r="V29" s="25"/>
      <c r="W29" s="25"/>
    </row>
    <row r="30" spans="1:23" ht="20.100000000000001" customHeight="1" x14ac:dyDescent="0.2">
      <c r="A30" s="23">
        <v>46201</v>
      </c>
      <c r="B30" s="24">
        <v>2276</v>
      </c>
      <c r="C30" s="24">
        <v>823</v>
      </c>
      <c r="D30" s="25"/>
      <c r="E30" s="25"/>
      <c r="F30" s="25">
        <v>120</v>
      </c>
      <c r="G30" s="25">
        <v>5</v>
      </c>
      <c r="H30" s="29">
        <f t="shared" si="0"/>
        <v>4.1666666666666664E-2</v>
      </c>
      <c r="I30" s="25">
        <v>39</v>
      </c>
      <c r="J30" s="24"/>
      <c r="K30" s="25"/>
      <c r="L30" s="25"/>
      <c r="M30" s="25"/>
      <c r="N30" s="25"/>
      <c r="O30" s="25"/>
      <c r="P30" s="25"/>
      <c r="Q30" s="25"/>
      <c r="R30" s="25">
        <v>248</v>
      </c>
      <c r="S30" s="25">
        <v>3</v>
      </c>
      <c r="T30" s="25">
        <v>0</v>
      </c>
      <c r="U30" s="25"/>
      <c r="V30" s="25"/>
      <c r="W30" s="25"/>
    </row>
    <row r="31" spans="1:23" ht="20.100000000000001" customHeight="1" x14ac:dyDescent="0.2">
      <c r="A31" s="23">
        <v>46202</v>
      </c>
      <c r="B31" s="24">
        <v>2591</v>
      </c>
      <c r="C31" s="24">
        <v>810</v>
      </c>
      <c r="D31" s="25"/>
      <c r="E31" s="25"/>
      <c r="F31" s="25">
        <v>120</v>
      </c>
      <c r="G31" s="25">
        <v>4</v>
      </c>
      <c r="H31" s="29">
        <f t="shared" si="0"/>
        <v>3.3333333333333333E-2</v>
      </c>
      <c r="I31" s="25">
        <v>22</v>
      </c>
      <c r="J31" s="24"/>
      <c r="K31" s="25"/>
      <c r="L31" s="25"/>
      <c r="M31" s="25"/>
      <c r="N31" s="25"/>
      <c r="O31" s="25"/>
      <c r="P31" s="25"/>
      <c r="Q31" s="25"/>
      <c r="R31" s="25">
        <v>276</v>
      </c>
      <c r="S31" s="25">
        <v>6</v>
      </c>
      <c r="T31" s="25">
        <v>0</v>
      </c>
      <c r="U31" s="25"/>
      <c r="V31" s="25"/>
      <c r="W31" s="25"/>
    </row>
    <row r="32" spans="1:23" ht="20.100000000000001" customHeight="1" x14ac:dyDescent="0.2">
      <c r="A32" s="23">
        <v>46203</v>
      </c>
      <c r="B32" s="26">
        <v>2435</v>
      </c>
      <c r="C32" s="26">
        <v>848</v>
      </c>
      <c r="D32" s="27"/>
      <c r="E32" s="27"/>
      <c r="F32" s="27">
        <v>120</v>
      </c>
      <c r="G32" s="27">
        <v>16</v>
      </c>
      <c r="H32" s="29">
        <f t="shared" si="0"/>
        <v>0.13333333333333333</v>
      </c>
      <c r="I32" s="27">
        <v>24</v>
      </c>
      <c r="J32" s="26"/>
      <c r="K32" s="27"/>
      <c r="L32" s="27"/>
      <c r="M32" s="27"/>
      <c r="N32" s="27"/>
      <c r="O32" s="27"/>
      <c r="P32" s="27"/>
      <c r="Q32" s="27"/>
      <c r="R32" s="27">
        <v>296</v>
      </c>
      <c r="S32" s="27">
        <v>3</v>
      </c>
      <c r="T32" s="27">
        <v>0</v>
      </c>
    </row>
    <row r="33" spans="1:20" ht="19.5" customHeight="1" x14ac:dyDescent="0.2">
      <c r="A33" s="28"/>
      <c r="B33" s="26"/>
      <c r="C33" s="26"/>
      <c r="D33" s="27"/>
      <c r="E33" s="27"/>
      <c r="F33" s="27"/>
      <c r="G33" s="27"/>
      <c r="H33" s="29"/>
      <c r="I33" s="27"/>
      <c r="J33" s="26"/>
      <c r="K33" s="27"/>
      <c r="L33" s="27"/>
      <c r="M33" s="27"/>
      <c r="N33" s="27"/>
      <c r="O33" s="27"/>
      <c r="P33" s="27"/>
      <c r="Q33" s="27"/>
      <c r="R33" s="27"/>
      <c r="S33" s="27"/>
      <c r="T33" s="27"/>
    </row>
  </sheetData>
  <mergeCells count="8">
    <mergeCell ref="V1:V2"/>
    <mergeCell ref="W1:W2"/>
    <mergeCell ref="A1:A2"/>
    <mergeCell ref="B1:I1"/>
    <mergeCell ref="J1:M1"/>
    <mergeCell ref="N1:Q1"/>
    <mergeCell ref="R1:T1"/>
    <mergeCell ref="U1:U2"/>
  </mergeCells>
  <phoneticPr fontId="10"/>
  <pageMargins left="0.75" right="0.75" top="1" bottom="1" header="0.5" footer="0.5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F587-922A-480E-BB28-171B607232F4}">
  <dimension ref="A1:W33"/>
  <sheetViews>
    <sheetView view="pageBreakPreview" zoomScale="90" zoomScaleNormal="100" zoomScaleSheetLayoutView="90" workbookViewId="0">
      <pane ySplit="1" topLeftCell="A2" activePane="bottomLeft" state="frozen"/>
      <selection pane="bottomLeft" activeCell="H18" sqref="H18"/>
    </sheetView>
  </sheetViews>
  <sheetFormatPr defaultColWidth="8.875" defaultRowHeight="13.5" x14ac:dyDescent="0.15"/>
  <cols>
    <col min="1" max="1" width="9.5" style="14" bestFit="1" customWidth="1"/>
    <col min="2" max="2" width="6.375" style="17" bestFit="1" customWidth="1"/>
    <col min="3" max="3" width="8" style="17" bestFit="1" customWidth="1"/>
    <col min="4" max="4" width="12.875" style="11" customWidth="1"/>
    <col min="5" max="6" width="17" style="11" customWidth="1"/>
    <col min="7" max="8" width="13.375" style="11" customWidth="1"/>
    <col min="9" max="9" width="12.75" style="11" customWidth="1"/>
    <col min="10" max="10" width="11.125" style="17" customWidth="1"/>
    <col min="11" max="13" width="7" style="11" customWidth="1"/>
    <col min="14" max="14" width="9.5" style="11" customWidth="1"/>
    <col min="15" max="15" width="5.875" style="11" bestFit="1" customWidth="1"/>
    <col min="16" max="16" width="4.75" style="11" bestFit="1" customWidth="1"/>
    <col min="17" max="17" width="5.375" style="11" bestFit="1" customWidth="1"/>
    <col min="18" max="18" width="9.625" style="11" bestFit="1" customWidth="1"/>
    <col min="19" max="19" width="11.75" style="11" customWidth="1"/>
    <col min="20" max="20" width="9" style="11" bestFit="1" customWidth="1"/>
    <col min="21" max="21" width="5.375" style="11" bestFit="1" customWidth="1"/>
    <col min="22" max="22" width="22.5" style="11" customWidth="1"/>
    <col min="23" max="23" width="4.125" style="11" bestFit="1" customWidth="1"/>
    <col min="24" max="16384" width="8.875" style="11"/>
  </cols>
  <sheetData>
    <row r="1" spans="1:23" s="35" customFormat="1" ht="23.25" customHeight="1" x14ac:dyDescent="0.15">
      <c r="A1" s="54" t="s">
        <v>225</v>
      </c>
      <c r="B1" s="56" t="s">
        <v>226</v>
      </c>
      <c r="C1" s="57"/>
      <c r="D1" s="57"/>
      <c r="E1" s="57"/>
      <c r="F1" s="57"/>
      <c r="G1" s="57"/>
      <c r="H1" s="57"/>
      <c r="I1" s="58"/>
      <c r="J1" s="56" t="s">
        <v>227</v>
      </c>
      <c r="K1" s="57"/>
      <c r="L1" s="57"/>
      <c r="M1" s="58"/>
      <c r="N1" s="59" t="s">
        <v>228</v>
      </c>
      <c r="O1" s="60"/>
      <c r="P1" s="60"/>
      <c r="Q1" s="61"/>
      <c r="R1" s="59" t="s">
        <v>229</v>
      </c>
      <c r="S1" s="60"/>
      <c r="T1" s="61"/>
      <c r="U1" s="52" t="s">
        <v>230</v>
      </c>
      <c r="V1" s="52" t="s">
        <v>231</v>
      </c>
      <c r="W1" s="52" t="s">
        <v>232</v>
      </c>
    </row>
    <row r="2" spans="1:23" s="35" customFormat="1" ht="23.25" customHeight="1" x14ac:dyDescent="0.15">
      <c r="A2" s="55"/>
      <c r="B2" s="36" t="s">
        <v>233</v>
      </c>
      <c r="C2" s="36" t="s">
        <v>234</v>
      </c>
      <c r="D2" s="37" t="s">
        <v>235</v>
      </c>
      <c r="E2" s="37" t="s">
        <v>236</v>
      </c>
      <c r="F2" s="38" t="s">
        <v>237</v>
      </c>
      <c r="G2" s="37" t="s">
        <v>238</v>
      </c>
      <c r="H2" s="37" t="s">
        <v>239</v>
      </c>
      <c r="I2" s="37" t="s">
        <v>240</v>
      </c>
      <c r="J2" s="36" t="s">
        <v>241</v>
      </c>
      <c r="K2" s="37" t="s">
        <v>242</v>
      </c>
      <c r="L2" s="37" t="s">
        <v>243</v>
      </c>
      <c r="M2" s="37" t="s">
        <v>244</v>
      </c>
      <c r="N2" s="37" t="s">
        <v>241</v>
      </c>
      <c r="O2" s="37" t="s">
        <v>242</v>
      </c>
      <c r="P2" s="37" t="s">
        <v>243</v>
      </c>
      <c r="Q2" s="37" t="s">
        <v>244</v>
      </c>
      <c r="R2" s="37" t="s">
        <v>245</v>
      </c>
      <c r="S2" s="37" t="s">
        <v>246</v>
      </c>
      <c r="T2" s="37" t="s">
        <v>247</v>
      </c>
      <c r="U2" s="53"/>
      <c r="V2" s="53"/>
      <c r="W2" s="53"/>
    </row>
    <row r="3" spans="1:23" ht="20.100000000000001" customHeight="1" x14ac:dyDescent="0.2">
      <c r="A3" s="23">
        <v>46204</v>
      </c>
      <c r="B3" s="24">
        <v>1581</v>
      </c>
      <c r="C3" s="24">
        <v>798</v>
      </c>
      <c r="D3" s="25"/>
      <c r="E3" s="25"/>
      <c r="F3" s="25">
        <v>120</v>
      </c>
      <c r="G3" s="25">
        <v>12</v>
      </c>
      <c r="H3" s="29">
        <f>G3/F3</f>
        <v>0.1</v>
      </c>
      <c r="I3" s="25">
        <v>17</v>
      </c>
      <c r="J3" s="24"/>
      <c r="K3" s="25"/>
      <c r="L3" s="25"/>
      <c r="M3" s="25"/>
      <c r="N3" s="25"/>
      <c r="O3" s="25"/>
      <c r="P3" s="25"/>
      <c r="Q3" s="25"/>
      <c r="R3" s="25">
        <v>285</v>
      </c>
      <c r="S3" s="25">
        <v>2</v>
      </c>
      <c r="T3" s="25">
        <v>0</v>
      </c>
      <c r="U3" s="25"/>
      <c r="V3" s="25"/>
      <c r="W3" s="25"/>
    </row>
    <row r="4" spans="1:23" ht="20.100000000000001" customHeight="1" x14ac:dyDescent="0.2">
      <c r="A4" s="23">
        <v>46205</v>
      </c>
      <c r="B4" s="24">
        <v>2398</v>
      </c>
      <c r="C4" s="24">
        <v>953</v>
      </c>
      <c r="D4" s="25"/>
      <c r="E4" s="25"/>
      <c r="F4" s="25">
        <v>120</v>
      </c>
      <c r="G4" s="25">
        <v>17</v>
      </c>
      <c r="H4" s="29">
        <f t="shared" ref="H4:H33" si="0">G4/F4</f>
        <v>0.14166666666666666</v>
      </c>
      <c r="I4" s="25">
        <v>15</v>
      </c>
      <c r="J4" s="24"/>
      <c r="K4" s="25"/>
      <c r="L4" s="25"/>
      <c r="M4" s="25"/>
      <c r="N4" s="25"/>
      <c r="O4" s="25"/>
      <c r="P4" s="25"/>
      <c r="Q4" s="25"/>
      <c r="R4" s="25">
        <v>352</v>
      </c>
      <c r="S4" s="25">
        <v>2</v>
      </c>
      <c r="T4" s="25">
        <v>0</v>
      </c>
      <c r="U4" s="25"/>
      <c r="V4" s="25"/>
      <c r="W4" s="25"/>
    </row>
    <row r="5" spans="1:23" ht="20.100000000000001" customHeight="1" x14ac:dyDescent="0.2">
      <c r="A5" s="23">
        <v>46206</v>
      </c>
      <c r="B5" s="24">
        <v>2207</v>
      </c>
      <c r="C5" s="24">
        <v>711</v>
      </c>
      <c r="D5" s="25">
        <v>84.5</v>
      </c>
      <c r="E5" s="25">
        <v>15.5</v>
      </c>
      <c r="F5" s="25">
        <v>120</v>
      </c>
      <c r="G5" s="25">
        <v>22</v>
      </c>
      <c r="H5" s="29">
        <f t="shared" si="0"/>
        <v>0.18333333333333332</v>
      </c>
      <c r="I5" s="25">
        <v>15</v>
      </c>
      <c r="J5" s="24">
        <v>1871</v>
      </c>
      <c r="K5" s="25">
        <v>284</v>
      </c>
      <c r="L5" s="25">
        <v>52</v>
      </c>
      <c r="M5" s="25">
        <v>0</v>
      </c>
      <c r="N5" s="25">
        <v>12</v>
      </c>
      <c r="O5" s="25">
        <v>3</v>
      </c>
      <c r="P5" s="25">
        <v>0</v>
      </c>
      <c r="Q5" s="25">
        <v>0</v>
      </c>
      <c r="R5" s="25">
        <v>282</v>
      </c>
      <c r="S5" s="25">
        <v>0</v>
      </c>
      <c r="T5" s="25">
        <v>0</v>
      </c>
      <c r="U5" s="25"/>
      <c r="V5" s="25"/>
      <c r="W5" s="25"/>
    </row>
    <row r="6" spans="1:23" ht="20.100000000000001" customHeight="1" x14ac:dyDescent="0.2">
      <c r="A6" s="23">
        <v>46207</v>
      </c>
      <c r="B6" s="24">
        <v>5313</v>
      </c>
      <c r="C6" s="24">
        <v>921</v>
      </c>
      <c r="D6" s="25">
        <v>84.1</v>
      </c>
      <c r="E6" s="25">
        <v>15.9</v>
      </c>
      <c r="F6" s="25">
        <v>120</v>
      </c>
      <c r="G6" s="25">
        <v>26</v>
      </c>
      <c r="H6" s="29">
        <f t="shared" si="0"/>
        <v>0.21666666666666667</v>
      </c>
      <c r="I6" s="25">
        <v>29</v>
      </c>
      <c r="J6" s="24">
        <v>2653</v>
      </c>
      <c r="K6" s="25">
        <v>2175</v>
      </c>
      <c r="L6" s="25">
        <v>485</v>
      </c>
      <c r="M6" s="25">
        <v>0</v>
      </c>
      <c r="N6" s="25">
        <v>17</v>
      </c>
      <c r="O6" s="25">
        <v>10</v>
      </c>
      <c r="P6" s="25">
        <v>2</v>
      </c>
      <c r="Q6" s="25">
        <v>0</v>
      </c>
      <c r="R6" s="25">
        <v>406</v>
      </c>
      <c r="S6" s="25">
        <v>12</v>
      </c>
      <c r="T6" s="25">
        <v>0</v>
      </c>
      <c r="U6" s="25"/>
      <c r="V6" s="25"/>
      <c r="W6" s="25"/>
    </row>
    <row r="7" spans="1:23" ht="20.100000000000001" customHeight="1" x14ac:dyDescent="0.2">
      <c r="A7" s="23">
        <v>46208</v>
      </c>
      <c r="B7" s="24">
        <v>5375</v>
      </c>
      <c r="C7" s="24">
        <v>1048</v>
      </c>
      <c r="D7" s="25">
        <v>82.9</v>
      </c>
      <c r="E7" s="25">
        <v>17.100000000000001</v>
      </c>
      <c r="F7" s="25">
        <v>120</v>
      </c>
      <c r="G7" s="25">
        <v>23</v>
      </c>
      <c r="H7" s="29">
        <f t="shared" si="0"/>
        <v>0.19166666666666668</v>
      </c>
      <c r="I7" s="25">
        <v>38</v>
      </c>
      <c r="J7" s="24">
        <v>2757</v>
      </c>
      <c r="K7" s="25">
        <v>2063</v>
      </c>
      <c r="L7" s="25">
        <v>555</v>
      </c>
      <c r="M7" s="25">
        <v>0</v>
      </c>
      <c r="N7" s="25">
        <v>21</v>
      </c>
      <c r="O7" s="25">
        <v>13</v>
      </c>
      <c r="P7" s="25">
        <v>4</v>
      </c>
      <c r="Q7" s="25">
        <v>0</v>
      </c>
      <c r="R7" s="25">
        <v>377</v>
      </c>
      <c r="S7" s="25">
        <v>15</v>
      </c>
      <c r="T7" s="25">
        <v>0</v>
      </c>
      <c r="U7" s="25"/>
      <c r="V7" s="25"/>
      <c r="W7" s="25"/>
    </row>
    <row r="8" spans="1:23" ht="20.100000000000001" customHeight="1" x14ac:dyDescent="0.2">
      <c r="A8" s="23">
        <v>46209</v>
      </c>
      <c r="B8" s="24">
        <v>2676</v>
      </c>
      <c r="C8" s="24">
        <v>917</v>
      </c>
      <c r="D8" s="25">
        <v>83.2</v>
      </c>
      <c r="E8" s="25">
        <v>16.8</v>
      </c>
      <c r="F8" s="25">
        <v>120</v>
      </c>
      <c r="G8" s="25">
        <v>14</v>
      </c>
      <c r="H8" s="29">
        <f t="shared" si="0"/>
        <v>0.11666666666666667</v>
      </c>
      <c r="I8" s="25">
        <v>29</v>
      </c>
      <c r="J8" s="24">
        <v>1488</v>
      </c>
      <c r="K8" s="25">
        <v>829</v>
      </c>
      <c r="L8" s="25">
        <v>359</v>
      </c>
      <c r="M8" s="25">
        <v>0</v>
      </c>
      <c r="N8" s="25">
        <v>16</v>
      </c>
      <c r="O8" s="25">
        <v>7</v>
      </c>
      <c r="P8" s="25">
        <v>6</v>
      </c>
      <c r="Q8" s="25">
        <v>0</v>
      </c>
      <c r="R8" s="25">
        <v>285</v>
      </c>
      <c r="S8" s="25">
        <v>5</v>
      </c>
      <c r="T8" s="25">
        <v>0</v>
      </c>
      <c r="U8" s="25"/>
      <c r="V8" s="25"/>
      <c r="W8" s="25"/>
    </row>
    <row r="9" spans="1:23" ht="20.100000000000001" customHeight="1" x14ac:dyDescent="0.2">
      <c r="A9" s="23">
        <v>46210</v>
      </c>
      <c r="B9" s="24">
        <v>2633</v>
      </c>
      <c r="C9" s="24">
        <v>937</v>
      </c>
      <c r="D9" s="25">
        <v>82.5</v>
      </c>
      <c r="E9" s="25">
        <v>17.5</v>
      </c>
      <c r="F9" s="25">
        <v>120</v>
      </c>
      <c r="G9" s="25">
        <v>27</v>
      </c>
      <c r="H9" s="29">
        <f t="shared" si="0"/>
        <v>0.22500000000000001</v>
      </c>
      <c r="I9" s="25">
        <v>39</v>
      </c>
      <c r="J9" s="24">
        <v>1897</v>
      </c>
      <c r="K9" s="25">
        <v>374</v>
      </c>
      <c r="L9" s="25">
        <v>362</v>
      </c>
      <c r="M9" s="25">
        <v>0</v>
      </c>
      <c r="N9" s="25">
        <v>30</v>
      </c>
      <c r="O9" s="25">
        <v>7</v>
      </c>
      <c r="P9" s="25">
        <v>2</v>
      </c>
      <c r="Q9" s="25">
        <v>0</v>
      </c>
      <c r="R9" s="25">
        <v>395</v>
      </c>
      <c r="S9" s="25">
        <v>4</v>
      </c>
      <c r="T9" s="25">
        <v>0</v>
      </c>
      <c r="U9" s="25"/>
      <c r="V9" s="25"/>
      <c r="W9" s="25"/>
    </row>
    <row r="10" spans="1:23" ht="20.100000000000001" customHeight="1" x14ac:dyDescent="0.2">
      <c r="A10" s="23">
        <v>46211</v>
      </c>
      <c r="B10" s="24">
        <v>2845</v>
      </c>
      <c r="C10" s="24">
        <v>959</v>
      </c>
      <c r="D10" s="25">
        <v>81.599999999999994</v>
      </c>
      <c r="E10" s="25">
        <v>18.399999999999999</v>
      </c>
      <c r="F10" s="25">
        <v>120</v>
      </c>
      <c r="G10" s="25">
        <v>33</v>
      </c>
      <c r="H10" s="29">
        <f t="shared" si="0"/>
        <v>0.27500000000000002</v>
      </c>
      <c r="I10" s="25">
        <v>32</v>
      </c>
      <c r="J10" s="24">
        <v>2032</v>
      </c>
      <c r="K10" s="25">
        <v>449</v>
      </c>
      <c r="L10" s="25">
        <v>364</v>
      </c>
      <c r="M10" s="25">
        <v>0</v>
      </c>
      <c r="N10" s="25">
        <v>27</v>
      </c>
      <c r="O10" s="25">
        <v>5</v>
      </c>
      <c r="P10" s="25">
        <v>0</v>
      </c>
      <c r="Q10" s="25">
        <v>0</v>
      </c>
      <c r="R10" s="25">
        <v>518</v>
      </c>
      <c r="S10" s="25">
        <v>9</v>
      </c>
      <c r="T10" s="25">
        <v>0</v>
      </c>
      <c r="U10" s="25"/>
      <c r="V10" s="25"/>
      <c r="W10" s="25"/>
    </row>
    <row r="11" spans="1:23" ht="20.100000000000001" customHeight="1" x14ac:dyDescent="0.2">
      <c r="A11" s="23">
        <v>46212</v>
      </c>
      <c r="B11" s="24">
        <v>2110</v>
      </c>
      <c r="C11" s="24">
        <v>898</v>
      </c>
      <c r="D11" s="25">
        <v>77.900000000000006</v>
      </c>
      <c r="E11" s="25">
        <v>22.1</v>
      </c>
      <c r="F11" s="25">
        <v>120</v>
      </c>
      <c r="G11" s="25">
        <v>18</v>
      </c>
      <c r="H11" s="29">
        <f t="shared" si="0"/>
        <v>0.15</v>
      </c>
      <c r="I11" s="25">
        <v>20</v>
      </c>
      <c r="J11" s="24">
        <v>1245</v>
      </c>
      <c r="K11" s="25">
        <v>434</v>
      </c>
      <c r="L11" s="25">
        <v>431</v>
      </c>
      <c r="M11" s="25">
        <v>0</v>
      </c>
      <c r="N11" s="25">
        <v>18</v>
      </c>
      <c r="O11" s="25">
        <v>2</v>
      </c>
      <c r="P11" s="25">
        <v>0</v>
      </c>
      <c r="Q11" s="25">
        <v>0</v>
      </c>
      <c r="R11" s="25">
        <v>419</v>
      </c>
      <c r="S11" s="25">
        <v>13</v>
      </c>
      <c r="T11" s="25">
        <v>0</v>
      </c>
      <c r="U11" s="25"/>
      <c r="V11" s="25"/>
      <c r="W11" s="25"/>
    </row>
    <row r="12" spans="1:23" ht="20.100000000000001" customHeight="1" x14ac:dyDescent="0.2">
      <c r="A12" s="23">
        <v>46213</v>
      </c>
      <c r="B12" s="24">
        <v>2066</v>
      </c>
      <c r="C12" s="24">
        <v>849</v>
      </c>
      <c r="D12" s="25">
        <v>69.900000000000006</v>
      </c>
      <c r="E12" s="25">
        <v>30.1</v>
      </c>
      <c r="F12" s="25">
        <v>120</v>
      </c>
      <c r="G12" s="25">
        <v>19</v>
      </c>
      <c r="H12" s="29">
        <f t="shared" si="0"/>
        <v>0.15833333333333333</v>
      </c>
      <c r="I12" s="25">
        <v>15</v>
      </c>
      <c r="J12" s="24">
        <v>1197</v>
      </c>
      <c r="K12" s="25">
        <v>447</v>
      </c>
      <c r="L12" s="25">
        <v>422</v>
      </c>
      <c r="M12" s="25">
        <v>0</v>
      </c>
      <c r="N12" s="25">
        <v>15</v>
      </c>
      <c r="O12" s="25">
        <v>0</v>
      </c>
      <c r="P12" s="25">
        <v>0</v>
      </c>
      <c r="Q12" s="25">
        <v>0</v>
      </c>
      <c r="R12" s="25">
        <v>349</v>
      </c>
      <c r="S12" s="25">
        <v>9</v>
      </c>
      <c r="T12" s="25">
        <v>0</v>
      </c>
      <c r="U12" s="25"/>
      <c r="V12" s="25"/>
      <c r="W12" s="25"/>
    </row>
    <row r="13" spans="1:23" ht="20.100000000000001" customHeight="1" x14ac:dyDescent="0.2">
      <c r="A13" s="23">
        <v>46214</v>
      </c>
      <c r="B13" s="24">
        <v>1716</v>
      </c>
      <c r="C13" s="24">
        <v>706</v>
      </c>
      <c r="D13" s="25">
        <v>60.3</v>
      </c>
      <c r="E13" s="25">
        <v>30.7</v>
      </c>
      <c r="F13" s="25">
        <v>120</v>
      </c>
      <c r="G13" s="25">
        <v>17</v>
      </c>
      <c r="H13" s="29">
        <f t="shared" si="0"/>
        <v>0.14166666666666666</v>
      </c>
      <c r="I13" s="25">
        <v>6</v>
      </c>
      <c r="J13" s="24">
        <v>941</v>
      </c>
      <c r="K13" s="25">
        <v>420</v>
      </c>
      <c r="L13" s="25">
        <v>355</v>
      </c>
      <c r="M13" s="25">
        <v>0</v>
      </c>
      <c r="N13" s="25">
        <v>6</v>
      </c>
      <c r="O13" s="25">
        <v>0</v>
      </c>
      <c r="P13" s="25">
        <v>0</v>
      </c>
      <c r="Q13" s="25">
        <v>0</v>
      </c>
      <c r="R13" s="25">
        <v>324</v>
      </c>
      <c r="S13" s="25">
        <v>3</v>
      </c>
      <c r="T13" s="25">
        <v>0</v>
      </c>
      <c r="U13" s="25"/>
      <c r="V13" s="25"/>
      <c r="W13" s="25"/>
    </row>
    <row r="14" spans="1:23" ht="20.100000000000001" customHeight="1" x14ac:dyDescent="0.2">
      <c r="A14" s="23">
        <v>46215</v>
      </c>
      <c r="B14" s="24">
        <v>2142</v>
      </c>
      <c r="C14" s="24">
        <v>340</v>
      </c>
      <c r="D14" s="25">
        <v>81.8</v>
      </c>
      <c r="E14" s="25">
        <v>18.2</v>
      </c>
      <c r="F14" s="25">
        <v>120</v>
      </c>
      <c r="G14" s="25">
        <v>10</v>
      </c>
      <c r="H14" s="29">
        <f t="shared" si="0"/>
        <v>8.3333333333333329E-2</v>
      </c>
      <c r="I14" s="25">
        <v>18</v>
      </c>
      <c r="J14" s="24">
        <v>1467</v>
      </c>
      <c r="K14" s="25">
        <v>363</v>
      </c>
      <c r="L14" s="25">
        <v>312</v>
      </c>
      <c r="M14" s="25">
        <v>0</v>
      </c>
      <c r="N14" s="25">
        <v>16</v>
      </c>
      <c r="O14" s="25">
        <v>2</v>
      </c>
      <c r="P14" s="25">
        <v>0</v>
      </c>
      <c r="Q14" s="25">
        <v>0</v>
      </c>
      <c r="R14" s="25">
        <v>289</v>
      </c>
      <c r="S14" s="25">
        <v>1</v>
      </c>
      <c r="T14" s="25">
        <v>0</v>
      </c>
      <c r="U14" s="25"/>
      <c r="V14" s="25"/>
      <c r="W14" s="25"/>
    </row>
    <row r="15" spans="1:23" ht="20.100000000000001" customHeight="1" x14ac:dyDescent="0.2">
      <c r="A15" s="23">
        <v>46216</v>
      </c>
      <c r="B15" s="24">
        <v>3161</v>
      </c>
      <c r="C15" s="24">
        <v>459</v>
      </c>
      <c r="D15" s="25">
        <v>85.6</v>
      </c>
      <c r="E15" s="25">
        <v>14.4</v>
      </c>
      <c r="F15" s="25">
        <v>120</v>
      </c>
      <c r="G15" s="25">
        <v>15</v>
      </c>
      <c r="H15" s="29">
        <f t="shared" si="0"/>
        <v>0.125</v>
      </c>
      <c r="I15" s="25">
        <v>25</v>
      </c>
      <c r="J15" s="24">
        <v>2579</v>
      </c>
      <c r="K15" s="25">
        <v>392</v>
      </c>
      <c r="L15" s="25">
        <v>190</v>
      </c>
      <c r="M15" s="25">
        <v>0</v>
      </c>
      <c r="N15" s="25">
        <v>23</v>
      </c>
      <c r="O15" s="25">
        <v>2</v>
      </c>
      <c r="P15" s="25">
        <v>0</v>
      </c>
      <c r="Q15" s="25">
        <v>0</v>
      </c>
      <c r="R15" s="25">
        <v>276</v>
      </c>
      <c r="S15" s="25">
        <v>2</v>
      </c>
      <c r="T15" s="25">
        <v>0</v>
      </c>
      <c r="U15" s="25"/>
      <c r="V15" s="25"/>
      <c r="W15" s="25"/>
    </row>
    <row r="16" spans="1:23" ht="20.100000000000001" customHeight="1" x14ac:dyDescent="0.2">
      <c r="A16" s="23">
        <v>46217</v>
      </c>
      <c r="B16" s="24">
        <v>2795</v>
      </c>
      <c r="C16" s="24">
        <v>1081</v>
      </c>
      <c r="D16" s="25">
        <v>63.5</v>
      </c>
      <c r="E16" s="25">
        <v>36.5</v>
      </c>
      <c r="F16" s="25">
        <v>120</v>
      </c>
      <c r="G16" s="25">
        <v>21</v>
      </c>
      <c r="H16" s="29">
        <f t="shared" si="0"/>
        <v>0.17499999999999999</v>
      </c>
      <c r="I16" s="25">
        <v>16</v>
      </c>
      <c r="J16" s="24">
        <v>1609</v>
      </c>
      <c r="K16" s="25">
        <v>984</v>
      </c>
      <c r="L16" s="25">
        <v>202</v>
      </c>
      <c r="M16" s="25">
        <v>0</v>
      </c>
      <c r="N16" s="25">
        <v>12</v>
      </c>
      <c r="O16" s="25">
        <v>4</v>
      </c>
      <c r="P16" s="25">
        <v>0</v>
      </c>
      <c r="Q16" s="25">
        <v>0</v>
      </c>
      <c r="R16" s="25">
        <v>325</v>
      </c>
      <c r="S16" s="25">
        <v>16</v>
      </c>
      <c r="T16" s="25">
        <v>0</v>
      </c>
      <c r="U16" s="25"/>
      <c r="V16" s="25"/>
      <c r="W16" s="25"/>
    </row>
    <row r="17" spans="1:23" ht="20.100000000000001" customHeight="1" x14ac:dyDescent="0.2">
      <c r="A17" s="23">
        <v>46218</v>
      </c>
      <c r="B17" s="24">
        <v>2908</v>
      </c>
      <c r="C17" s="24">
        <v>1406</v>
      </c>
      <c r="D17" s="25">
        <v>49.7</v>
      </c>
      <c r="E17" s="25">
        <v>50.3</v>
      </c>
      <c r="F17" s="25">
        <v>120</v>
      </c>
      <c r="G17" s="25">
        <v>28</v>
      </c>
      <c r="H17" s="29">
        <f t="shared" si="0"/>
        <v>0.23333333333333334</v>
      </c>
      <c r="I17" s="25">
        <v>19</v>
      </c>
      <c r="J17" s="24">
        <v>1753</v>
      </c>
      <c r="K17" s="25">
        <v>934</v>
      </c>
      <c r="L17" s="25">
        <v>221</v>
      </c>
      <c r="M17" s="25">
        <v>0</v>
      </c>
      <c r="N17" s="25">
        <v>14</v>
      </c>
      <c r="O17" s="25">
        <v>5</v>
      </c>
      <c r="P17" s="25">
        <v>0</v>
      </c>
      <c r="Q17" s="25">
        <v>0</v>
      </c>
      <c r="R17" s="25">
        <v>359</v>
      </c>
      <c r="S17" s="25">
        <v>15</v>
      </c>
      <c r="T17" s="25">
        <v>0</v>
      </c>
      <c r="U17" s="25"/>
      <c r="V17" s="25"/>
      <c r="W17" s="25"/>
    </row>
    <row r="18" spans="1:23" ht="20.100000000000001" customHeight="1" x14ac:dyDescent="0.2">
      <c r="A18" s="23">
        <v>46219</v>
      </c>
      <c r="B18" s="24">
        <v>2381</v>
      </c>
      <c r="C18" s="24">
        <v>892</v>
      </c>
      <c r="D18" s="25">
        <v>65.8</v>
      </c>
      <c r="E18" s="25">
        <v>34.200000000000003</v>
      </c>
      <c r="F18" s="25">
        <v>120</v>
      </c>
      <c r="G18" s="25">
        <v>17</v>
      </c>
      <c r="H18" s="29">
        <f t="shared" si="0"/>
        <v>0.14166666666666666</v>
      </c>
      <c r="I18" s="25">
        <v>16</v>
      </c>
      <c r="J18" s="24">
        <v>1234</v>
      </c>
      <c r="K18" s="25">
        <v>967</v>
      </c>
      <c r="L18" s="25">
        <v>180</v>
      </c>
      <c r="M18" s="25">
        <v>0</v>
      </c>
      <c r="N18" s="25">
        <v>11</v>
      </c>
      <c r="O18" s="25">
        <v>5</v>
      </c>
      <c r="P18" s="25">
        <v>0</v>
      </c>
      <c r="Q18" s="25">
        <v>0</v>
      </c>
      <c r="R18" s="25">
        <v>198</v>
      </c>
      <c r="S18" s="25">
        <v>1</v>
      </c>
      <c r="T18" s="25">
        <v>0</v>
      </c>
      <c r="U18" s="25"/>
      <c r="V18" s="25"/>
      <c r="W18" s="25"/>
    </row>
    <row r="19" spans="1:23" ht="20.100000000000001" customHeight="1" x14ac:dyDescent="0.2">
      <c r="A19" s="23">
        <v>46220</v>
      </c>
      <c r="B19" s="24">
        <v>2796</v>
      </c>
      <c r="C19" s="24">
        <v>552</v>
      </c>
      <c r="D19" s="25">
        <v>89.3</v>
      </c>
      <c r="E19" s="25">
        <v>10.7</v>
      </c>
      <c r="F19" s="25">
        <v>120</v>
      </c>
      <c r="G19" s="25">
        <v>6</v>
      </c>
      <c r="H19" s="29">
        <f t="shared" si="0"/>
        <v>0.05</v>
      </c>
      <c r="I19" s="25">
        <v>24</v>
      </c>
      <c r="J19" s="24">
        <v>2158</v>
      </c>
      <c r="K19" s="25">
        <v>447</v>
      </c>
      <c r="L19" s="25">
        <v>191</v>
      </c>
      <c r="M19" s="25">
        <v>0</v>
      </c>
      <c r="N19" s="25">
        <v>23</v>
      </c>
      <c r="O19" s="25">
        <v>1</v>
      </c>
      <c r="P19" s="25">
        <v>0</v>
      </c>
      <c r="Q19" s="25">
        <v>0</v>
      </c>
      <c r="R19" s="25">
        <v>192</v>
      </c>
      <c r="S19" s="25">
        <v>5</v>
      </c>
      <c r="T19" s="25">
        <v>0</v>
      </c>
      <c r="U19" s="25"/>
      <c r="V19" s="25"/>
      <c r="W19" s="25"/>
    </row>
    <row r="20" spans="1:23" ht="20.100000000000001" customHeight="1" x14ac:dyDescent="0.2">
      <c r="A20" s="23">
        <v>46221</v>
      </c>
      <c r="B20" s="24">
        <v>2794</v>
      </c>
      <c r="C20" s="24">
        <v>576</v>
      </c>
      <c r="D20" s="25">
        <v>85.9</v>
      </c>
      <c r="E20" s="25">
        <v>14.1</v>
      </c>
      <c r="F20" s="25">
        <v>120</v>
      </c>
      <c r="G20" s="25">
        <v>16</v>
      </c>
      <c r="H20" s="29">
        <f t="shared" si="0"/>
        <v>0.13333333333333333</v>
      </c>
      <c r="I20" s="25">
        <v>30</v>
      </c>
      <c r="J20" s="24">
        <v>2275</v>
      </c>
      <c r="K20" s="25">
        <v>312</v>
      </c>
      <c r="L20" s="25">
        <v>206</v>
      </c>
      <c r="M20" s="25">
        <v>0</v>
      </c>
      <c r="N20" s="25">
        <v>23</v>
      </c>
      <c r="O20" s="25">
        <v>6</v>
      </c>
      <c r="P20" s="25">
        <v>1</v>
      </c>
      <c r="Q20" s="25">
        <v>0</v>
      </c>
      <c r="R20" s="25">
        <v>293</v>
      </c>
      <c r="S20" s="25">
        <v>6</v>
      </c>
      <c r="T20" s="25">
        <v>0</v>
      </c>
      <c r="U20" s="25"/>
      <c r="V20" s="25"/>
      <c r="W20" s="25"/>
    </row>
    <row r="21" spans="1:23" ht="20.100000000000001" customHeight="1" x14ac:dyDescent="0.2">
      <c r="A21" s="23">
        <v>46222</v>
      </c>
      <c r="B21" s="24">
        <v>1657</v>
      </c>
      <c r="C21" s="24">
        <v>546</v>
      </c>
      <c r="D21" s="25">
        <v>71.900000000000006</v>
      </c>
      <c r="E21" s="25">
        <v>28.1</v>
      </c>
      <c r="F21" s="25">
        <v>120</v>
      </c>
      <c r="G21" s="25">
        <v>0</v>
      </c>
      <c r="H21" s="29">
        <f t="shared" si="0"/>
        <v>0</v>
      </c>
      <c r="I21" s="25">
        <v>19</v>
      </c>
      <c r="J21" s="24">
        <v>1194</v>
      </c>
      <c r="K21" s="25">
        <v>324</v>
      </c>
      <c r="L21" s="25">
        <v>138</v>
      </c>
      <c r="M21" s="25">
        <v>0</v>
      </c>
      <c r="N21" s="25">
        <v>9</v>
      </c>
      <c r="O21" s="25">
        <v>9</v>
      </c>
      <c r="P21" s="25">
        <v>1</v>
      </c>
      <c r="Q21" s="25">
        <v>0</v>
      </c>
      <c r="R21" s="25">
        <v>331</v>
      </c>
      <c r="S21" s="25">
        <v>3</v>
      </c>
      <c r="T21" s="25">
        <v>0</v>
      </c>
      <c r="U21" s="25"/>
      <c r="V21" s="25"/>
      <c r="W21" s="25"/>
    </row>
    <row r="22" spans="1:23" ht="20.100000000000001" customHeight="1" x14ac:dyDescent="0.2">
      <c r="A22" s="23">
        <v>46223</v>
      </c>
      <c r="B22" s="24">
        <v>977</v>
      </c>
      <c r="C22" s="24">
        <v>426</v>
      </c>
      <c r="D22" s="25">
        <v>75.7</v>
      </c>
      <c r="E22" s="25">
        <v>24.3</v>
      </c>
      <c r="F22" s="25">
        <v>120</v>
      </c>
      <c r="G22" s="25">
        <v>20</v>
      </c>
      <c r="H22" s="29">
        <f t="shared" si="0"/>
        <v>0.16666666666666666</v>
      </c>
      <c r="I22" s="25">
        <v>9</v>
      </c>
      <c r="J22" s="24">
        <v>722</v>
      </c>
      <c r="K22" s="25">
        <v>214</v>
      </c>
      <c r="L22" s="25">
        <v>41</v>
      </c>
      <c r="M22" s="25">
        <v>0</v>
      </c>
      <c r="N22" s="25">
        <v>5</v>
      </c>
      <c r="O22" s="25">
        <v>4</v>
      </c>
      <c r="P22" s="25">
        <v>0</v>
      </c>
      <c r="Q22" s="25">
        <v>0</v>
      </c>
      <c r="R22" s="25">
        <v>213</v>
      </c>
      <c r="S22" s="25">
        <v>2</v>
      </c>
      <c r="T22" s="25">
        <v>0</v>
      </c>
      <c r="U22" s="25"/>
      <c r="V22" s="25"/>
      <c r="W22" s="25"/>
    </row>
    <row r="23" spans="1:23" ht="20.100000000000001" customHeight="1" x14ac:dyDescent="0.2">
      <c r="A23" s="23">
        <v>46224</v>
      </c>
      <c r="B23" s="24">
        <v>1058</v>
      </c>
      <c r="C23" s="24">
        <v>611</v>
      </c>
      <c r="D23" s="25">
        <v>82.1</v>
      </c>
      <c r="E23" s="25">
        <v>17.899999999999999</v>
      </c>
      <c r="F23" s="25">
        <v>120</v>
      </c>
      <c r="G23" s="25">
        <v>10</v>
      </c>
      <c r="H23" s="29">
        <f t="shared" si="0"/>
        <v>8.3333333333333329E-2</v>
      </c>
      <c r="I23" s="25">
        <v>15</v>
      </c>
      <c r="J23" s="24">
        <v>772</v>
      </c>
      <c r="K23" s="25">
        <v>251</v>
      </c>
      <c r="L23" s="25">
        <v>35</v>
      </c>
      <c r="M23" s="25">
        <v>0</v>
      </c>
      <c r="N23" s="25">
        <v>13</v>
      </c>
      <c r="O23" s="25">
        <v>2</v>
      </c>
      <c r="P23" s="25">
        <v>0</v>
      </c>
      <c r="Q23" s="25">
        <v>0</v>
      </c>
      <c r="R23" s="25">
        <v>158</v>
      </c>
      <c r="S23" s="25">
        <v>4</v>
      </c>
      <c r="T23" s="25">
        <v>0</v>
      </c>
      <c r="U23" s="25"/>
      <c r="V23" s="25"/>
      <c r="W23" s="25"/>
    </row>
    <row r="24" spans="1:23" ht="20.100000000000001" customHeight="1" x14ac:dyDescent="0.2">
      <c r="A24" s="23">
        <v>46225</v>
      </c>
      <c r="B24" s="24">
        <v>1757</v>
      </c>
      <c r="C24" s="24">
        <v>811</v>
      </c>
      <c r="D24" s="25">
        <v>86.2</v>
      </c>
      <c r="E24" s="25">
        <v>13.8</v>
      </c>
      <c r="F24" s="25">
        <v>120</v>
      </c>
      <c r="G24" s="25">
        <v>5</v>
      </c>
      <c r="H24" s="29">
        <f t="shared" si="0"/>
        <v>4.1666666666666664E-2</v>
      </c>
      <c r="I24" s="25">
        <v>26</v>
      </c>
      <c r="J24" s="24">
        <v>1401</v>
      </c>
      <c r="K24" s="25">
        <v>316</v>
      </c>
      <c r="L24" s="25">
        <v>40</v>
      </c>
      <c r="M24" s="25">
        <v>0</v>
      </c>
      <c r="N24" s="25">
        <v>24</v>
      </c>
      <c r="O24" s="25">
        <v>2</v>
      </c>
      <c r="P24" s="25">
        <v>0</v>
      </c>
      <c r="Q24" s="25">
        <v>0</v>
      </c>
      <c r="R24" s="25">
        <v>176</v>
      </c>
      <c r="S24" s="25">
        <v>5</v>
      </c>
      <c r="T24" s="25">
        <v>0</v>
      </c>
      <c r="U24" s="25"/>
      <c r="V24" s="25"/>
      <c r="W24" s="25"/>
    </row>
    <row r="25" spans="1:23" ht="20.100000000000001" customHeight="1" x14ac:dyDescent="0.2">
      <c r="A25" s="23">
        <v>46226</v>
      </c>
      <c r="B25" s="24">
        <v>2149</v>
      </c>
      <c r="C25" s="24">
        <v>1041</v>
      </c>
      <c r="D25" s="25">
        <v>82.7</v>
      </c>
      <c r="E25" s="25">
        <v>17.3</v>
      </c>
      <c r="F25" s="25">
        <v>120</v>
      </c>
      <c r="G25" s="25">
        <v>6</v>
      </c>
      <c r="H25" s="29">
        <f t="shared" si="0"/>
        <v>0.05</v>
      </c>
      <c r="I25" s="25">
        <v>23</v>
      </c>
      <c r="J25" s="24">
        <v>1709</v>
      </c>
      <c r="K25" s="25">
        <v>416</v>
      </c>
      <c r="L25" s="25">
        <v>24</v>
      </c>
      <c r="M25" s="25">
        <v>0</v>
      </c>
      <c r="N25" s="25">
        <v>21</v>
      </c>
      <c r="O25" s="25">
        <v>2</v>
      </c>
      <c r="P25" s="25">
        <v>0</v>
      </c>
      <c r="Q25" s="25">
        <v>0</v>
      </c>
      <c r="R25" s="25">
        <v>145</v>
      </c>
      <c r="S25" s="25">
        <v>2</v>
      </c>
      <c r="T25" s="25">
        <v>0</v>
      </c>
      <c r="U25" s="25"/>
      <c r="V25" s="25"/>
      <c r="W25" s="25"/>
    </row>
    <row r="26" spans="1:23" ht="20.100000000000001" customHeight="1" x14ac:dyDescent="0.2">
      <c r="A26" s="23">
        <v>46227</v>
      </c>
      <c r="B26" s="24">
        <v>2028</v>
      </c>
      <c r="C26" s="24">
        <v>992</v>
      </c>
      <c r="D26" s="25">
        <v>81.099999999999994</v>
      </c>
      <c r="E26" s="25">
        <v>18.899999999999999</v>
      </c>
      <c r="F26" s="25">
        <v>120</v>
      </c>
      <c r="G26" s="25">
        <v>2</v>
      </c>
      <c r="H26" s="29">
        <f t="shared" si="0"/>
        <v>1.6666666666666666E-2</v>
      </c>
      <c r="I26" s="25">
        <v>23</v>
      </c>
      <c r="J26" s="24">
        <v>1571</v>
      </c>
      <c r="K26" s="25">
        <v>434</v>
      </c>
      <c r="L26" s="25">
        <v>23</v>
      </c>
      <c r="M26" s="25">
        <v>0</v>
      </c>
      <c r="N26" s="25">
        <v>22</v>
      </c>
      <c r="O26" s="25">
        <v>1</v>
      </c>
      <c r="P26" s="25">
        <v>0</v>
      </c>
      <c r="Q26" s="25">
        <v>0</v>
      </c>
      <c r="R26" s="25">
        <v>139</v>
      </c>
      <c r="S26" s="25">
        <v>0</v>
      </c>
      <c r="T26" s="25">
        <v>0</v>
      </c>
      <c r="U26" s="25"/>
      <c r="V26" s="25"/>
      <c r="W26" s="25"/>
    </row>
    <row r="27" spans="1:23" ht="20.100000000000001" customHeight="1" x14ac:dyDescent="0.2">
      <c r="A27" s="23">
        <v>46228</v>
      </c>
      <c r="B27" s="24">
        <v>2220</v>
      </c>
      <c r="C27" s="24">
        <v>926</v>
      </c>
      <c r="D27" s="25">
        <v>86.4</v>
      </c>
      <c r="E27" s="25">
        <v>13.6</v>
      </c>
      <c r="F27" s="25">
        <v>120</v>
      </c>
      <c r="G27" s="25">
        <v>3</v>
      </c>
      <c r="H27" s="29">
        <f t="shared" si="0"/>
        <v>2.5000000000000001E-2</v>
      </c>
      <c r="I27" s="25">
        <v>28</v>
      </c>
      <c r="J27" s="24">
        <v>1722</v>
      </c>
      <c r="K27" s="25">
        <v>435</v>
      </c>
      <c r="L27" s="25">
        <v>63</v>
      </c>
      <c r="M27" s="25">
        <v>0</v>
      </c>
      <c r="N27" s="25">
        <v>27</v>
      </c>
      <c r="O27" s="25">
        <v>1</v>
      </c>
      <c r="P27" s="25">
        <v>0</v>
      </c>
      <c r="Q27" s="25">
        <v>0</v>
      </c>
      <c r="R27" s="25">
        <v>199</v>
      </c>
      <c r="S27" s="25">
        <v>3</v>
      </c>
      <c r="T27" s="25">
        <v>0</v>
      </c>
      <c r="U27" s="25"/>
      <c r="V27" s="25"/>
      <c r="W27" s="25"/>
    </row>
    <row r="28" spans="1:23" ht="20.100000000000001" customHeight="1" x14ac:dyDescent="0.2">
      <c r="A28" s="23">
        <v>46229</v>
      </c>
      <c r="B28" s="24">
        <v>2154</v>
      </c>
      <c r="C28" s="24">
        <v>872</v>
      </c>
      <c r="D28" s="25">
        <v>85.6</v>
      </c>
      <c r="E28" s="25">
        <v>14.4</v>
      </c>
      <c r="F28" s="25">
        <v>120</v>
      </c>
      <c r="G28" s="25">
        <v>7</v>
      </c>
      <c r="H28" s="29">
        <f t="shared" si="0"/>
        <v>5.8333333333333334E-2</v>
      </c>
      <c r="I28" s="25">
        <v>20</v>
      </c>
      <c r="J28" s="24">
        <v>1496</v>
      </c>
      <c r="K28" s="25">
        <v>580</v>
      </c>
      <c r="L28" s="25">
        <v>78</v>
      </c>
      <c r="M28" s="25">
        <v>0</v>
      </c>
      <c r="N28" s="25">
        <v>17</v>
      </c>
      <c r="O28" s="25">
        <v>3</v>
      </c>
      <c r="P28" s="25">
        <v>0</v>
      </c>
      <c r="Q28" s="25">
        <v>0</v>
      </c>
      <c r="R28" s="25">
        <v>253</v>
      </c>
      <c r="S28" s="25">
        <v>5</v>
      </c>
      <c r="T28" s="25">
        <v>0</v>
      </c>
      <c r="U28" s="25"/>
      <c r="V28" s="25"/>
      <c r="W28" s="25"/>
    </row>
    <row r="29" spans="1:23" ht="20.100000000000001" customHeight="1" x14ac:dyDescent="0.2">
      <c r="A29" s="23">
        <v>46230</v>
      </c>
      <c r="B29" s="24">
        <v>1786</v>
      </c>
      <c r="C29" s="24">
        <v>866</v>
      </c>
      <c r="D29" s="25">
        <v>83.3</v>
      </c>
      <c r="E29" s="25">
        <v>16.7</v>
      </c>
      <c r="F29" s="25">
        <v>120</v>
      </c>
      <c r="G29" s="25">
        <v>15</v>
      </c>
      <c r="H29" s="29">
        <f t="shared" si="0"/>
        <v>0.125</v>
      </c>
      <c r="I29" s="25">
        <v>21</v>
      </c>
      <c r="J29" s="24">
        <v>1311</v>
      </c>
      <c r="K29" s="25">
        <v>425</v>
      </c>
      <c r="L29" s="25">
        <v>50</v>
      </c>
      <c r="M29" s="25">
        <v>0</v>
      </c>
      <c r="N29" s="25">
        <v>19</v>
      </c>
      <c r="O29" s="25">
        <v>2</v>
      </c>
      <c r="P29" s="25">
        <v>0</v>
      </c>
      <c r="Q29" s="25">
        <v>0</v>
      </c>
      <c r="R29" s="25">
        <v>255</v>
      </c>
      <c r="S29" s="25">
        <v>3</v>
      </c>
      <c r="T29" s="25">
        <v>0</v>
      </c>
      <c r="U29" s="25"/>
      <c r="V29" s="25"/>
      <c r="W29" s="25"/>
    </row>
    <row r="30" spans="1:23" ht="20.100000000000001" customHeight="1" x14ac:dyDescent="0.2">
      <c r="A30" s="23">
        <v>46231</v>
      </c>
      <c r="B30" s="24">
        <v>1246</v>
      </c>
      <c r="C30" s="24">
        <v>789</v>
      </c>
      <c r="D30" s="25">
        <v>80.7</v>
      </c>
      <c r="E30" s="25">
        <v>19.3</v>
      </c>
      <c r="F30" s="25">
        <v>120</v>
      </c>
      <c r="G30" s="25">
        <v>0</v>
      </c>
      <c r="H30" s="29">
        <f t="shared" si="0"/>
        <v>0</v>
      </c>
      <c r="I30" s="25">
        <v>17</v>
      </c>
      <c r="J30" s="24">
        <v>910</v>
      </c>
      <c r="K30" s="25">
        <v>301</v>
      </c>
      <c r="L30" s="25">
        <v>35</v>
      </c>
      <c r="M30" s="25">
        <v>0</v>
      </c>
      <c r="N30" s="25">
        <v>17</v>
      </c>
      <c r="O30" s="25">
        <v>0</v>
      </c>
      <c r="P30" s="25">
        <v>0</v>
      </c>
      <c r="Q30" s="25">
        <v>0</v>
      </c>
      <c r="R30" s="25">
        <v>231</v>
      </c>
      <c r="S30" s="25">
        <v>1</v>
      </c>
      <c r="T30" s="25">
        <v>0</v>
      </c>
      <c r="U30" s="25"/>
      <c r="V30" s="25"/>
      <c r="W30" s="25"/>
    </row>
    <row r="31" spans="1:23" ht="20.100000000000001" customHeight="1" x14ac:dyDescent="0.2">
      <c r="A31" s="23">
        <v>46232</v>
      </c>
      <c r="B31" s="24">
        <v>240</v>
      </c>
      <c r="C31" s="24">
        <v>50</v>
      </c>
      <c r="D31" s="25">
        <v>58.8</v>
      </c>
      <c r="E31" s="25">
        <v>41.2</v>
      </c>
      <c r="F31" s="25">
        <v>120</v>
      </c>
      <c r="G31" s="25">
        <v>7</v>
      </c>
      <c r="H31" s="29">
        <f t="shared" si="0"/>
        <v>5.8333333333333334E-2</v>
      </c>
      <c r="I31" s="25">
        <v>1</v>
      </c>
      <c r="J31" s="24">
        <v>192</v>
      </c>
      <c r="K31" s="25">
        <v>30</v>
      </c>
      <c r="L31" s="25">
        <v>18</v>
      </c>
      <c r="M31" s="25">
        <v>0</v>
      </c>
      <c r="N31" s="25">
        <v>1</v>
      </c>
      <c r="O31" s="25">
        <v>0</v>
      </c>
      <c r="P31" s="25">
        <v>0</v>
      </c>
      <c r="Q31" s="25">
        <v>0</v>
      </c>
      <c r="R31" s="25">
        <v>143</v>
      </c>
      <c r="S31" s="25">
        <v>0</v>
      </c>
      <c r="T31" s="25">
        <v>0</v>
      </c>
      <c r="U31" s="25"/>
      <c r="V31" s="25"/>
      <c r="W31" s="25"/>
    </row>
    <row r="32" spans="1:23" ht="20.100000000000001" customHeight="1" x14ac:dyDescent="0.2">
      <c r="A32" s="23">
        <v>46233</v>
      </c>
      <c r="B32" s="26">
        <v>219</v>
      </c>
      <c r="C32" s="26">
        <v>29</v>
      </c>
      <c r="D32" s="27">
        <v>50.7</v>
      </c>
      <c r="E32" s="27">
        <v>49.3</v>
      </c>
      <c r="F32" s="25">
        <v>120</v>
      </c>
      <c r="G32" s="27">
        <v>1</v>
      </c>
      <c r="H32" s="29">
        <f t="shared" si="0"/>
        <v>8.3333333333333332E-3</v>
      </c>
      <c r="I32" s="27">
        <v>2</v>
      </c>
      <c r="J32" s="26">
        <v>119</v>
      </c>
      <c r="K32" s="27">
        <v>76</v>
      </c>
      <c r="L32" s="27">
        <v>24</v>
      </c>
      <c r="M32" s="27">
        <v>0</v>
      </c>
      <c r="N32" s="27">
        <v>2</v>
      </c>
      <c r="O32" s="27">
        <v>0</v>
      </c>
      <c r="P32" s="27">
        <v>0</v>
      </c>
      <c r="Q32" s="27">
        <v>0</v>
      </c>
      <c r="R32" s="27">
        <v>103</v>
      </c>
      <c r="S32" s="27">
        <v>2</v>
      </c>
      <c r="T32" s="27">
        <v>0</v>
      </c>
    </row>
    <row r="33" spans="1:20" ht="19.5" customHeight="1" x14ac:dyDescent="0.2">
      <c r="A33" s="28">
        <v>46234</v>
      </c>
      <c r="B33" s="26">
        <v>206</v>
      </c>
      <c r="C33" s="26">
        <v>40</v>
      </c>
      <c r="D33" s="27">
        <v>50</v>
      </c>
      <c r="E33" s="27">
        <v>50</v>
      </c>
      <c r="F33" s="25">
        <v>120</v>
      </c>
      <c r="G33" s="27">
        <v>-1</v>
      </c>
      <c r="H33" s="29">
        <f t="shared" si="0"/>
        <v>-8.3333333333333332E-3</v>
      </c>
      <c r="I33" s="27">
        <v>4</v>
      </c>
      <c r="J33" s="26">
        <v>124</v>
      </c>
      <c r="K33" s="27">
        <v>60</v>
      </c>
      <c r="L33" s="27">
        <v>22</v>
      </c>
      <c r="M33" s="27">
        <v>0</v>
      </c>
      <c r="N33" s="27">
        <v>4</v>
      </c>
      <c r="O33" s="27">
        <v>0</v>
      </c>
      <c r="P33" s="27">
        <v>0</v>
      </c>
      <c r="Q33" s="27">
        <v>0</v>
      </c>
      <c r="R33" s="27">
        <v>70</v>
      </c>
      <c r="S33" s="27">
        <v>2</v>
      </c>
      <c r="T33" s="27">
        <v>0</v>
      </c>
    </row>
  </sheetData>
  <mergeCells count="8">
    <mergeCell ref="V1:V2"/>
    <mergeCell ref="W1:W2"/>
    <mergeCell ref="A1:A2"/>
    <mergeCell ref="B1:I1"/>
    <mergeCell ref="J1:M1"/>
    <mergeCell ref="N1:Q1"/>
    <mergeCell ref="R1:T1"/>
    <mergeCell ref="U1:U2"/>
  </mergeCells>
  <phoneticPr fontId="10"/>
  <pageMargins left="0.75" right="0.75" top="1" bottom="1" header="0.5" footer="0.5"/>
  <pageSetup paperSize="9" scale="66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47DBF-2DC4-4423-97A6-2F81C3106696}">
  <dimension ref="A1:W33"/>
  <sheetViews>
    <sheetView view="pageBreakPreview" zoomScale="90" zoomScaleNormal="100" zoomScaleSheetLayoutView="90" workbookViewId="0">
      <pane ySplit="1" topLeftCell="A2" activePane="bottomLeft" state="frozen"/>
      <selection pane="bottomLeft" activeCell="B1" sqref="A1:XFD2"/>
    </sheetView>
  </sheetViews>
  <sheetFormatPr defaultColWidth="8.875" defaultRowHeight="13.5" x14ac:dyDescent="0.15"/>
  <cols>
    <col min="1" max="1" width="9.5" style="14" bestFit="1" customWidth="1"/>
    <col min="2" max="2" width="6.375" style="17" bestFit="1" customWidth="1"/>
    <col min="3" max="3" width="8" style="17" bestFit="1" customWidth="1"/>
    <col min="4" max="4" width="12.875" style="11" customWidth="1"/>
    <col min="5" max="6" width="17" style="11" customWidth="1"/>
    <col min="7" max="8" width="13.375" style="11" customWidth="1"/>
    <col min="9" max="9" width="12.75" style="11" customWidth="1"/>
    <col min="10" max="10" width="11.125" style="17" customWidth="1"/>
    <col min="11" max="13" width="7" style="11" customWidth="1"/>
    <col min="14" max="14" width="9.5" style="11" customWidth="1"/>
    <col min="15" max="15" width="5.875" style="11" bestFit="1" customWidth="1"/>
    <col min="16" max="16" width="4.75" style="11" bestFit="1" customWidth="1"/>
    <col min="17" max="17" width="5.375" style="11" bestFit="1" customWidth="1"/>
    <col min="18" max="18" width="9.625" style="11" bestFit="1" customWidth="1"/>
    <col min="19" max="19" width="11.75" style="11" customWidth="1"/>
    <col min="20" max="20" width="9" style="11" bestFit="1" customWidth="1"/>
    <col min="21" max="21" width="5.375" style="11" bestFit="1" customWidth="1"/>
    <col min="22" max="22" width="22.5" style="11" customWidth="1"/>
    <col min="23" max="23" width="4.125" style="11" bestFit="1" customWidth="1"/>
    <col min="24" max="16384" width="8.875" style="11"/>
  </cols>
  <sheetData>
    <row r="1" spans="1:23" s="35" customFormat="1" ht="23.25" customHeight="1" x14ac:dyDescent="0.15">
      <c r="A1" s="54" t="s">
        <v>225</v>
      </c>
      <c r="B1" s="56" t="s">
        <v>226</v>
      </c>
      <c r="C1" s="57"/>
      <c r="D1" s="57"/>
      <c r="E1" s="57"/>
      <c r="F1" s="57"/>
      <c r="G1" s="57"/>
      <c r="H1" s="57"/>
      <c r="I1" s="58"/>
      <c r="J1" s="56" t="s">
        <v>227</v>
      </c>
      <c r="K1" s="57"/>
      <c r="L1" s="57"/>
      <c r="M1" s="58"/>
      <c r="N1" s="59" t="s">
        <v>228</v>
      </c>
      <c r="O1" s="60"/>
      <c r="P1" s="60"/>
      <c r="Q1" s="61"/>
      <c r="R1" s="59" t="s">
        <v>229</v>
      </c>
      <c r="S1" s="60"/>
      <c r="T1" s="61"/>
      <c r="U1" s="52" t="s">
        <v>230</v>
      </c>
      <c r="V1" s="52" t="s">
        <v>231</v>
      </c>
      <c r="W1" s="52" t="s">
        <v>232</v>
      </c>
    </row>
    <row r="2" spans="1:23" s="35" customFormat="1" ht="23.25" customHeight="1" x14ac:dyDescent="0.15">
      <c r="A2" s="55"/>
      <c r="B2" s="36" t="s">
        <v>233</v>
      </c>
      <c r="C2" s="36" t="s">
        <v>234</v>
      </c>
      <c r="D2" s="37" t="s">
        <v>235</v>
      </c>
      <c r="E2" s="37" t="s">
        <v>236</v>
      </c>
      <c r="F2" s="38" t="s">
        <v>237</v>
      </c>
      <c r="G2" s="37" t="s">
        <v>238</v>
      </c>
      <c r="H2" s="37" t="s">
        <v>239</v>
      </c>
      <c r="I2" s="37" t="s">
        <v>240</v>
      </c>
      <c r="J2" s="36" t="s">
        <v>241</v>
      </c>
      <c r="K2" s="37" t="s">
        <v>242</v>
      </c>
      <c r="L2" s="37" t="s">
        <v>243</v>
      </c>
      <c r="M2" s="37" t="s">
        <v>244</v>
      </c>
      <c r="N2" s="37" t="s">
        <v>241</v>
      </c>
      <c r="O2" s="37" t="s">
        <v>242</v>
      </c>
      <c r="P2" s="37" t="s">
        <v>243</v>
      </c>
      <c r="Q2" s="37" t="s">
        <v>244</v>
      </c>
      <c r="R2" s="37" t="s">
        <v>245</v>
      </c>
      <c r="S2" s="37" t="s">
        <v>246</v>
      </c>
      <c r="T2" s="37" t="s">
        <v>247</v>
      </c>
      <c r="U2" s="53"/>
      <c r="V2" s="53"/>
      <c r="W2" s="53"/>
    </row>
    <row r="3" spans="1:23" ht="20.100000000000001" customHeight="1" x14ac:dyDescent="0.2">
      <c r="A3" s="23">
        <v>46235</v>
      </c>
      <c r="B3" s="24">
        <v>654</v>
      </c>
      <c r="C3" s="24">
        <v>396</v>
      </c>
      <c r="D3" s="25">
        <v>85.3</v>
      </c>
      <c r="E3" s="25">
        <v>14.7</v>
      </c>
      <c r="F3" s="25">
        <v>80</v>
      </c>
      <c r="G3" s="25">
        <v>2</v>
      </c>
      <c r="H3" s="29">
        <f>G3/F3</f>
        <v>2.5000000000000001E-2</v>
      </c>
      <c r="I3" s="25">
        <v>13</v>
      </c>
      <c r="J3" s="24">
        <v>534</v>
      </c>
      <c r="K3" s="25">
        <v>107</v>
      </c>
      <c r="L3" s="25">
        <v>13</v>
      </c>
      <c r="M3" s="25">
        <v>0</v>
      </c>
      <c r="N3" s="25">
        <v>11</v>
      </c>
      <c r="O3" s="25">
        <v>2</v>
      </c>
      <c r="P3" s="25">
        <v>0</v>
      </c>
      <c r="Q3" s="25">
        <v>0</v>
      </c>
      <c r="R3" s="25">
        <v>84</v>
      </c>
      <c r="S3" s="25">
        <v>1</v>
      </c>
      <c r="T3" s="25">
        <v>0</v>
      </c>
      <c r="U3" s="25"/>
      <c r="V3" s="25"/>
      <c r="W3" s="25"/>
    </row>
    <row r="4" spans="1:23" ht="20.100000000000001" customHeight="1" x14ac:dyDescent="0.2">
      <c r="A4" s="23">
        <v>46236</v>
      </c>
      <c r="B4" s="24">
        <v>2296</v>
      </c>
      <c r="C4" s="24">
        <v>679</v>
      </c>
      <c r="D4" s="25">
        <v>93.7</v>
      </c>
      <c r="E4" s="25">
        <v>6.3</v>
      </c>
      <c r="F4" s="25">
        <v>80</v>
      </c>
      <c r="G4" s="25">
        <v>11</v>
      </c>
      <c r="H4" s="29">
        <f>G4/F4</f>
        <v>0.13750000000000001</v>
      </c>
      <c r="I4" s="25">
        <v>37</v>
      </c>
      <c r="J4" s="24">
        <v>2104</v>
      </c>
      <c r="K4" s="25">
        <v>160</v>
      </c>
      <c r="L4" s="25">
        <v>32</v>
      </c>
      <c r="M4" s="25">
        <v>0</v>
      </c>
      <c r="N4" s="25">
        <v>36</v>
      </c>
      <c r="O4" s="25">
        <v>1</v>
      </c>
      <c r="P4" s="25">
        <v>0</v>
      </c>
      <c r="Q4" s="25">
        <v>0</v>
      </c>
      <c r="R4" s="25">
        <v>166</v>
      </c>
      <c r="S4" s="25">
        <v>3</v>
      </c>
      <c r="T4" s="25">
        <v>0</v>
      </c>
      <c r="U4" s="25"/>
      <c r="V4" s="25"/>
      <c r="W4" s="25"/>
    </row>
    <row r="5" spans="1:23" ht="20.100000000000001" customHeight="1" x14ac:dyDescent="0.2">
      <c r="A5" s="23">
        <v>46237</v>
      </c>
      <c r="B5" s="24">
        <v>2799</v>
      </c>
      <c r="C5" s="24">
        <v>557</v>
      </c>
      <c r="D5" s="25">
        <v>94.6</v>
      </c>
      <c r="E5" s="25">
        <v>5.4</v>
      </c>
      <c r="F5" s="25">
        <v>80</v>
      </c>
      <c r="G5" s="25">
        <v>18</v>
      </c>
      <c r="H5" s="29">
        <f t="shared" ref="H5:H33" si="0">G5/F5</f>
        <v>0.22500000000000001</v>
      </c>
      <c r="I5" s="25">
        <v>39</v>
      </c>
      <c r="J5" s="24">
        <v>2567</v>
      </c>
      <c r="K5" s="25">
        <v>201</v>
      </c>
      <c r="L5" s="25">
        <v>31</v>
      </c>
      <c r="M5" s="25">
        <v>0</v>
      </c>
      <c r="N5" s="25">
        <v>34</v>
      </c>
      <c r="O5" s="25">
        <v>5</v>
      </c>
      <c r="P5" s="25">
        <v>0</v>
      </c>
      <c r="Q5" s="25">
        <v>0</v>
      </c>
      <c r="R5" s="25">
        <v>201</v>
      </c>
      <c r="S5" s="25">
        <v>2</v>
      </c>
      <c r="T5" s="25">
        <v>0</v>
      </c>
      <c r="U5" s="25"/>
      <c r="V5" s="25"/>
      <c r="W5" s="25"/>
    </row>
    <row r="6" spans="1:23" ht="20.100000000000001" customHeight="1" x14ac:dyDescent="0.2">
      <c r="A6" s="23">
        <v>46238</v>
      </c>
      <c r="B6" s="24">
        <v>1776</v>
      </c>
      <c r="C6" s="24">
        <v>522</v>
      </c>
      <c r="D6" s="25">
        <v>87.9</v>
      </c>
      <c r="E6" s="25">
        <v>12.1</v>
      </c>
      <c r="F6" s="25">
        <v>80</v>
      </c>
      <c r="G6" s="25">
        <v>11</v>
      </c>
      <c r="H6" s="29">
        <f t="shared" si="0"/>
        <v>0.13750000000000001</v>
      </c>
      <c r="I6" s="25">
        <v>17</v>
      </c>
      <c r="J6" s="24">
        <v>1502</v>
      </c>
      <c r="K6" s="25">
        <v>247</v>
      </c>
      <c r="L6" s="25">
        <v>27</v>
      </c>
      <c r="M6" s="25">
        <v>0</v>
      </c>
      <c r="N6" s="25">
        <v>12</v>
      </c>
      <c r="O6" s="25">
        <v>5</v>
      </c>
      <c r="P6" s="25">
        <v>0</v>
      </c>
      <c r="Q6" s="25">
        <v>0</v>
      </c>
      <c r="R6" s="25">
        <v>196</v>
      </c>
      <c r="S6" s="25">
        <v>0</v>
      </c>
      <c r="T6" s="25">
        <v>0</v>
      </c>
      <c r="U6" s="25"/>
      <c r="V6" s="25"/>
      <c r="W6" s="25"/>
    </row>
    <row r="7" spans="1:23" ht="20.100000000000001" customHeight="1" x14ac:dyDescent="0.2">
      <c r="A7" s="23">
        <v>46239</v>
      </c>
      <c r="B7" s="24">
        <v>1255</v>
      </c>
      <c r="C7" s="24">
        <v>581</v>
      </c>
      <c r="D7" s="25">
        <v>84.1</v>
      </c>
      <c r="E7" s="25">
        <v>15.9</v>
      </c>
      <c r="F7" s="25">
        <v>80</v>
      </c>
      <c r="G7" s="25">
        <v>1</v>
      </c>
      <c r="H7" s="29">
        <f t="shared" si="0"/>
        <v>1.2500000000000001E-2</v>
      </c>
      <c r="I7" s="25">
        <v>17</v>
      </c>
      <c r="J7" s="24">
        <v>1015</v>
      </c>
      <c r="K7" s="25">
        <v>207</v>
      </c>
      <c r="L7" s="25">
        <v>33</v>
      </c>
      <c r="M7" s="25">
        <v>0</v>
      </c>
      <c r="N7" s="25">
        <v>16</v>
      </c>
      <c r="O7" s="25">
        <v>1</v>
      </c>
      <c r="P7" s="25">
        <v>0</v>
      </c>
      <c r="Q7" s="25">
        <v>0</v>
      </c>
      <c r="R7" s="25">
        <v>169</v>
      </c>
      <c r="S7" s="25">
        <v>0</v>
      </c>
      <c r="T7" s="25">
        <v>0</v>
      </c>
      <c r="U7" s="25"/>
      <c r="V7" s="25"/>
      <c r="W7" s="25"/>
    </row>
    <row r="8" spans="1:23" ht="20.100000000000001" customHeight="1" x14ac:dyDescent="0.2">
      <c r="A8" s="23">
        <v>46240</v>
      </c>
      <c r="B8" s="24">
        <v>1085</v>
      </c>
      <c r="C8" s="24">
        <v>489</v>
      </c>
      <c r="D8" s="25">
        <v>90.2</v>
      </c>
      <c r="E8" s="25">
        <v>9.8000000000000007</v>
      </c>
      <c r="F8" s="25">
        <v>80</v>
      </c>
      <c r="G8" s="25">
        <v>-1</v>
      </c>
      <c r="H8" s="29">
        <f t="shared" si="0"/>
        <v>-1.2500000000000001E-2</v>
      </c>
      <c r="I8" s="25">
        <v>19</v>
      </c>
      <c r="J8" s="24">
        <v>935</v>
      </c>
      <c r="K8" s="25">
        <v>117</v>
      </c>
      <c r="L8" s="25">
        <v>33</v>
      </c>
      <c r="M8" s="25">
        <v>0</v>
      </c>
      <c r="N8" s="25">
        <v>14</v>
      </c>
      <c r="O8" s="25">
        <v>5</v>
      </c>
      <c r="P8" s="25">
        <v>0</v>
      </c>
      <c r="Q8" s="25">
        <v>0</v>
      </c>
      <c r="R8" s="25">
        <v>132</v>
      </c>
      <c r="S8" s="25">
        <v>0</v>
      </c>
      <c r="T8" s="25">
        <v>0</v>
      </c>
      <c r="U8" s="25"/>
      <c r="V8" s="25"/>
      <c r="W8" s="25"/>
    </row>
    <row r="9" spans="1:23" ht="20.100000000000001" customHeight="1" x14ac:dyDescent="0.2">
      <c r="A9" s="23">
        <v>46241</v>
      </c>
      <c r="B9" s="24">
        <v>749</v>
      </c>
      <c r="C9" s="24">
        <v>129</v>
      </c>
      <c r="D9" s="25">
        <v>68.8</v>
      </c>
      <c r="E9" s="25">
        <v>31.2</v>
      </c>
      <c r="F9" s="25">
        <v>80</v>
      </c>
      <c r="G9" s="25">
        <v>5</v>
      </c>
      <c r="H9" s="29">
        <f t="shared" si="0"/>
        <v>6.25E-2</v>
      </c>
      <c r="I9" s="25">
        <v>6</v>
      </c>
      <c r="J9" s="24">
        <v>466</v>
      </c>
      <c r="K9" s="25">
        <v>194</v>
      </c>
      <c r="L9" s="25">
        <v>89</v>
      </c>
      <c r="M9" s="25">
        <v>0</v>
      </c>
      <c r="N9" s="25">
        <v>5</v>
      </c>
      <c r="O9" s="25">
        <v>1</v>
      </c>
      <c r="P9" s="25">
        <v>0</v>
      </c>
      <c r="Q9" s="25">
        <v>0</v>
      </c>
      <c r="R9" s="25">
        <v>127</v>
      </c>
      <c r="S9" s="25">
        <v>0</v>
      </c>
      <c r="T9" s="25">
        <v>0</v>
      </c>
      <c r="U9" s="25"/>
      <c r="V9" s="25"/>
      <c r="W9" s="25"/>
    </row>
    <row r="10" spans="1:23" ht="20.100000000000001" customHeight="1" x14ac:dyDescent="0.2">
      <c r="A10" s="23">
        <v>46242</v>
      </c>
      <c r="B10" s="24">
        <v>1919</v>
      </c>
      <c r="C10" s="24">
        <v>292</v>
      </c>
      <c r="D10" s="25">
        <v>83.7</v>
      </c>
      <c r="E10" s="25">
        <v>16.3</v>
      </c>
      <c r="F10" s="25">
        <v>80</v>
      </c>
      <c r="G10" s="25">
        <v>11</v>
      </c>
      <c r="H10" s="29">
        <f t="shared" si="0"/>
        <v>0.13750000000000001</v>
      </c>
      <c r="I10" s="25">
        <v>20</v>
      </c>
      <c r="J10" s="24">
        <v>1485</v>
      </c>
      <c r="K10" s="25">
        <v>224</v>
      </c>
      <c r="L10" s="25">
        <v>110</v>
      </c>
      <c r="M10" s="25">
        <v>0</v>
      </c>
      <c r="N10" s="25">
        <v>18</v>
      </c>
      <c r="O10" s="25">
        <v>2</v>
      </c>
      <c r="P10" s="25">
        <v>0</v>
      </c>
      <c r="Q10" s="25">
        <v>0</v>
      </c>
      <c r="R10" s="25">
        <v>181</v>
      </c>
      <c r="S10" s="25">
        <v>0</v>
      </c>
      <c r="T10" s="25">
        <v>0</v>
      </c>
      <c r="U10" s="25"/>
      <c r="V10" s="25"/>
      <c r="W10" s="25"/>
    </row>
    <row r="11" spans="1:23" ht="20.100000000000001" customHeight="1" x14ac:dyDescent="0.2">
      <c r="A11" s="23">
        <v>46243</v>
      </c>
      <c r="B11" s="24">
        <v>2462</v>
      </c>
      <c r="C11" s="24">
        <v>385</v>
      </c>
      <c r="D11" s="25">
        <v>92.2</v>
      </c>
      <c r="E11" s="25">
        <v>7.8</v>
      </c>
      <c r="F11" s="25">
        <v>80</v>
      </c>
      <c r="G11" s="25">
        <v>13</v>
      </c>
      <c r="H11" s="29">
        <f t="shared" si="0"/>
        <v>0.16250000000000001</v>
      </c>
      <c r="I11" s="25">
        <v>22</v>
      </c>
      <c r="J11" s="24">
        <v>2102</v>
      </c>
      <c r="K11" s="25">
        <v>302</v>
      </c>
      <c r="L11" s="25">
        <v>58</v>
      </c>
      <c r="M11" s="25">
        <v>0</v>
      </c>
      <c r="N11" s="25">
        <v>20</v>
      </c>
      <c r="O11" s="25">
        <v>2</v>
      </c>
      <c r="P11" s="25">
        <v>0</v>
      </c>
      <c r="Q11" s="25">
        <v>0</v>
      </c>
      <c r="R11" s="25">
        <v>230</v>
      </c>
      <c r="S11" s="25">
        <v>0</v>
      </c>
      <c r="T11" s="25">
        <v>0</v>
      </c>
      <c r="U11" s="25"/>
      <c r="V11" s="25"/>
      <c r="W11" s="25"/>
    </row>
    <row r="12" spans="1:23" ht="20.100000000000001" customHeight="1" x14ac:dyDescent="0.2">
      <c r="A12" s="23">
        <v>46244</v>
      </c>
      <c r="B12" s="24">
        <v>2120</v>
      </c>
      <c r="C12" s="24">
        <v>707</v>
      </c>
      <c r="D12" s="25">
        <v>90.9</v>
      </c>
      <c r="E12" s="25">
        <v>9.1</v>
      </c>
      <c r="F12" s="25">
        <v>80</v>
      </c>
      <c r="G12" s="25">
        <v>14</v>
      </c>
      <c r="H12" s="29">
        <f t="shared" si="0"/>
        <v>0.17499999999999999</v>
      </c>
      <c r="I12" s="25">
        <v>24</v>
      </c>
      <c r="J12" s="24">
        <v>1751</v>
      </c>
      <c r="K12" s="25">
        <v>327</v>
      </c>
      <c r="L12" s="25">
        <v>42</v>
      </c>
      <c r="M12" s="25">
        <v>0</v>
      </c>
      <c r="N12" s="25">
        <v>24</v>
      </c>
      <c r="O12" s="25">
        <v>0</v>
      </c>
      <c r="P12" s="25">
        <v>0</v>
      </c>
      <c r="Q12" s="25">
        <v>0</v>
      </c>
      <c r="R12" s="25">
        <v>248</v>
      </c>
      <c r="S12" s="25">
        <v>0</v>
      </c>
      <c r="T12" s="25">
        <v>0</v>
      </c>
      <c r="U12" s="25"/>
      <c r="V12" s="25"/>
      <c r="W12" s="25"/>
    </row>
    <row r="13" spans="1:23" ht="20.100000000000001" customHeight="1" x14ac:dyDescent="0.2">
      <c r="A13" s="23">
        <v>46245</v>
      </c>
      <c r="B13" s="24">
        <v>1783</v>
      </c>
      <c r="C13" s="24">
        <v>826</v>
      </c>
      <c r="D13" s="25">
        <v>87.7</v>
      </c>
      <c r="E13" s="25">
        <v>12.3</v>
      </c>
      <c r="F13" s="25">
        <v>80</v>
      </c>
      <c r="G13" s="25">
        <v>5</v>
      </c>
      <c r="H13" s="29">
        <f t="shared" si="0"/>
        <v>6.25E-2</v>
      </c>
      <c r="I13" s="25">
        <v>26</v>
      </c>
      <c r="J13" s="24">
        <v>1497</v>
      </c>
      <c r="K13" s="25">
        <v>240</v>
      </c>
      <c r="L13" s="25">
        <v>46</v>
      </c>
      <c r="M13" s="25">
        <v>0</v>
      </c>
      <c r="N13" s="25">
        <v>26</v>
      </c>
      <c r="O13" s="25">
        <v>0</v>
      </c>
      <c r="P13" s="25">
        <v>0</v>
      </c>
      <c r="Q13" s="25">
        <v>0</v>
      </c>
      <c r="R13" s="25">
        <v>216</v>
      </c>
      <c r="S13" s="25">
        <v>0</v>
      </c>
      <c r="T13" s="25">
        <v>0</v>
      </c>
      <c r="U13" s="25"/>
      <c r="V13" s="25"/>
      <c r="W13" s="25"/>
    </row>
    <row r="14" spans="1:23" ht="20.100000000000001" customHeight="1" x14ac:dyDescent="0.2">
      <c r="A14" s="23">
        <v>46246</v>
      </c>
      <c r="B14" s="24">
        <v>822</v>
      </c>
      <c r="C14" s="24">
        <v>368</v>
      </c>
      <c r="D14" s="25">
        <v>62.7</v>
      </c>
      <c r="E14" s="25">
        <v>27.2</v>
      </c>
      <c r="F14" s="25">
        <v>80</v>
      </c>
      <c r="G14" s="25">
        <v>-5</v>
      </c>
      <c r="H14" s="29">
        <f t="shared" si="0"/>
        <v>-6.25E-2</v>
      </c>
      <c r="I14" s="25">
        <v>8</v>
      </c>
      <c r="J14" s="24">
        <v>508</v>
      </c>
      <c r="K14" s="25">
        <v>257</v>
      </c>
      <c r="L14" s="25">
        <v>57</v>
      </c>
      <c r="M14" s="25">
        <v>0</v>
      </c>
      <c r="N14" s="25">
        <v>4</v>
      </c>
      <c r="O14" s="25">
        <v>3</v>
      </c>
      <c r="P14" s="25">
        <v>1</v>
      </c>
      <c r="Q14" s="25">
        <v>0</v>
      </c>
      <c r="R14" s="25">
        <v>148</v>
      </c>
      <c r="S14" s="25">
        <v>0</v>
      </c>
      <c r="T14" s="25">
        <v>0</v>
      </c>
      <c r="U14" s="25"/>
      <c r="V14" s="25"/>
      <c r="W14" s="25"/>
    </row>
    <row r="15" spans="1:23" ht="20.100000000000001" customHeight="1" x14ac:dyDescent="0.2">
      <c r="A15" s="23">
        <v>46247</v>
      </c>
      <c r="B15" s="24">
        <v>343</v>
      </c>
      <c r="C15" s="24">
        <v>48</v>
      </c>
      <c r="D15" s="25">
        <v>31.5</v>
      </c>
      <c r="E15" s="25">
        <v>68.5</v>
      </c>
      <c r="F15" s="25">
        <v>80</v>
      </c>
      <c r="G15" s="25">
        <v>-4</v>
      </c>
      <c r="H15" s="29">
        <f t="shared" si="0"/>
        <v>-0.05</v>
      </c>
      <c r="I15" s="25">
        <v>4</v>
      </c>
      <c r="J15" s="24">
        <v>192</v>
      </c>
      <c r="K15" s="25">
        <v>108</v>
      </c>
      <c r="L15" s="25">
        <v>43</v>
      </c>
      <c r="M15" s="25">
        <v>0</v>
      </c>
      <c r="N15" s="25">
        <v>3</v>
      </c>
      <c r="O15" s="25">
        <v>1</v>
      </c>
      <c r="P15" s="25">
        <v>0</v>
      </c>
      <c r="Q15" s="25">
        <v>0</v>
      </c>
      <c r="R15" s="25">
        <v>95</v>
      </c>
      <c r="S15" s="25">
        <v>0</v>
      </c>
      <c r="T15" s="25">
        <v>0</v>
      </c>
      <c r="U15" s="25"/>
      <c r="V15" s="25"/>
      <c r="W15" s="25"/>
    </row>
    <row r="16" spans="1:23" ht="20.100000000000001" customHeight="1" x14ac:dyDescent="0.2">
      <c r="A16" s="23">
        <v>46248</v>
      </c>
      <c r="B16" s="24">
        <v>139</v>
      </c>
      <c r="C16" s="24">
        <v>55</v>
      </c>
      <c r="D16" s="25">
        <v>46</v>
      </c>
      <c r="E16" s="25">
        <v>54</v>
      </c>
      <c r="F16" s="25">
        <v>80</v>
      </c>
      <c r="G16" s="25">
        <v>-7</v>
      </c>
      <c r="H16" s="29">
        <f t="shared" si="0"/>
        <v>-8.7499999999999994E-2</v>
      </c>
      <c r="I16" s="25">
        <v>0</v>
      </c>
      <c r="J16" s="24">
        <v>113</v>
      </c>
      <c r="K16" s="25">
        <v>20</v>
      </c>
      <c r="L16" s="25">
        <v>6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59</v>
      </c>
      <c r="S16" s="25">
        <v>0</v>
      </c>
      <c r="T16" s="25">
        <v>0</v>
      </c>
      <c r="U16" s="25"/>
      <c r="V16" s="25"/>
      <c r="W16" s="25"/>
    </row>
    <row r="17" spans="1:23" ht="20.100000000000001" customHeight="1" x14ac:dyDescent="0.2">
      <c r="A17" s="23">
        <v>46249</v>
      </c>
      <c r="B17" s="24">
        <v>724</v>
      </c>
      <c r="C17" s="24">
        <v>434</v>
      </c>
      <c r="D17" s="25">
        <v>76.7</v>
      </c>
      <c r="E17" s="25">
        <v>23.3</v>
      </c>
      <c r="F17" s="25">
        <v>80</v>
      </c>
      <c r="G17" s="25">
        <v>-5</v>
      </c>
      <c r="H17" s="29">
        <f t="shared" si="0"/>
        <v>-6.25E-2</v>
      </c>
      <c r="I17" s="25">
        <v>6</v>
      </c>
      <c r="J17" s="24">
        <v>484</v>
      </c>
      <c r="K17" s="25">
        <v>210</v>
      </c>
      <c r="L17" s="25">
        <v>30</v>
      </c>
      <c r="M17" s="25">
        <v>0</v>
      </c>
      <c r="N17" s="25">
        <v>6</v>
      </c>
      <c r="O17" s="25">
        <v>0</v>
      </c>
      <c r="P17" s="25">
        <v>0</v>
      </c>
      <c r="Q17" s="25">
        <v>0</v>
      </c>
      <c r="R17" s="25">
        <v>119</v>
      </c>
      <c r="S17" s="25">
        <v>0</v>
      </c>
      <c r="T17" s="25">
        <v>0</v>
      </c>
      <c r="U17" s="25"/>
      <c r="V17" s="25"/>
      <c r="W17" s="25"/>
    </row>
    <row r="18" spans="1:23" ht="20.100000000000001" customHeight="1" x14ac:dyDescent="0.2">
      <c r="A18" s="23">
        <v>46250</v>
      </c>
      <c r="B18" s="24">
        <v>114</v>
      </c>
      <c r="C18" s="24">
        <v>662</v>
      </c>
      <c r="D18" s="25">
        <v>80.2</v>
      </c>
      <c r="E18" s="25">
        <v>19.8</v>
      </c>
      <c r="F18" s="25">
        <v>80</v>
      </c>
      <c r="G18" s="25">
        <v>4</v>
      </c>
      <c r="H18" s="29">
        <f t="shared" si="0"/>
        <v>0.05</v>
      </c>
      <c r="I18" s="25">
        <v>12</v>
      </c>
      <c r="J18" s="24">
        <v>757</v>
      </c>
      <c r="K18" s="25">
        <v>344</v>
      </c>
      <c r="L18" s="25">
        <v>43</v>
      </c>
      <c r="M18" s="25">
        <v>0</v>
      </c>
      <c r="N18" s="25">
        <v>11</v>
      </c>
      <c r="O18" s="25">
        <v>1</v>
      </c>
      <c r="P18" s="25">
        <v>0</v>
      </c>
      <c r="Q18" s="25">
        <v>0</v>
      </c>
      <c r="R18" s="25">
        <v>152</v>
      </c>
      <c r="S18" s="25">
        <v>0</v>
      </c>
      <c r="T18" s="25">
        <v>0</v>
      </c>
      <c r="U18" s="25"/>
      <c r="V18" s="25"/>
      <c r="W18" s="25"/>
    </row>
    <row r="19" spans="1:23" ht="20.100000000000001" customHeight="1" x14ac:dyDescent="0.2">
      <c r="A19" s="23">
        <v>46251</v>
      </c>
      <c r="B19" s="24">
        <v>626</v>
      </c>
      <c r="C19" s="24">
        <v>275</v>
      </c>
      <c r="D19" s="25">
        <v>76.5</v>
      </c>
      <c r="E19" s="25">
        <v>23.5</v>
      </c>
      <c r="F19" s="25">
        <v>80</v>
      </c>
      <c r="G19" s="25">
        <v>7</v>
      </c>
      <c r="H19" s="29">
        <f t="shared" si="0"/>
        <v>8.7499999999999994E-2</v>
      </c>
      <c r="I19" s="25">
        <v>7</v>
      </c>
      <c r="J19" s="24">
        <v>317</v>
      </c>
      <c r="K19" s="25">
        <v>290</v>
      </c>
      <c r="L19" s="25">
        <v>19</v>
      </c>
      <c r="M19" s="25">
        <v>0</v>
      </c>
      <c r="N19" s="25">
        <v>5</v>
      </c>
      <c r="O19" s="25">
        <v>2</v>
      </c>
      <c r="P19" s="25">
        <v>0</v>
      </c>
      <c r="Q19" s="25">
        <v>0</v>
      </c>
      <c r="R19" s="25">
        <v>104</v>
      </c>
      <c r="S19" s="25">
        <v>0</v>
      </c>
      <c r="T19" s="25">
        <v>0</v>
      </c>
      <c r="U19" s="25"/>
      <c r="V19" s="25"/>
      <c r="W19" s="25"/>
    </row>
    <row r="20" spans="1:23" ht="20.100000000000001" customHeight="1" x14ac:dyDescent="0.2">
      <c r="A20" s="23">
        <v>46252</v>
      </c>
      <c r="B20" s="24">
        <v>267</v>
      </c>
      <c r="C20" s="24">
        <v>44</v>
      </c>
      <c r="D20" s="25">
        <v>59.9</v>
      </c>
      <c r="E20" s="25">
        <v>40.1</v>
      </c>
      <c r="F20" s="25">
        <v>80</v>
      </c>
      <c r="G20" s="25">
        <v>9</v>
      </c>
      <c r="H20" s="29">
        <f t="shared" si="0"/>
        <v>0.1125</v>
      </c>
      <c r="I20" s="25">
        <v>1</v>
      </c>
      <c r="J20" s="24">
        <v>248</v>
      </c>
      <c r="K20" s="25">
        <v>17</v>
      </c>
      <c r="L20" s="25">
        <v>2</v>
      </c>
      <c r="M20" s="25">
        <v>0</v>
      </c>
      <c r="N20" s="25">
        <v>1</v>
      </c>
      <c r="O20" s="25">
        <v>0</v>
      </c>
      <c r="P20" s="25">
        <v>0</v>
      </c>
      <c r="Q20" s="25">
        <v>0</v>
      </c>
      <c r="R20" s="25">
        <v>104</v>
      </c>
      <c r="S20" s="25">
        <v>0</v>
      </c>
      <c r="T20" s="25">
        <v>0</v>
      </c>
      <c r="U20" s="25"/>
      <c r="V20" s="25"/>
      <c r="W20" s="25"/>
    </row>
    <row r="21" spans="1:23" ht="20.100000000000001" customHeight="1" x14ac:dyDescent="0.2">
      <c r="A21" s="23">
        <v>46253</v>
      </c>
      <c r="B21" s="24">
        <v>260</v>
      </c>
      <c r="C21" s="24">
        <v>44</v>
      </c>
      <c r="D21" s="25">
        <v>48.1</v>
      </c>
      <c r="E21" s="25">
        <v>51.9</v>
      </c>
      <c r="F21" s="25">
        <v>80</v>
      </c>
      <c r="G21" s="25">
        <v>7</v>
      </c>
      <c r="H21" s="29">
        <f t="shared" si="0"/>
        <v>8.7499999999999994E-2</v>
      </c>
      <c r="I21" s="25">
        <v>1</v>
      </c>
      <c r="J21" s="24">
        <v>173</v>
      </c>
      <c r="K21" s="25">
        <v>69</v>
      </c>
      <c r="L21" s="25">
        <v>18</v>
      </c>
      <c r="M21" s="25">
        <v>0</v>
      </c>
      <c r="N21" s="25">
        <v>1</v>
      </c>
      <c r="O21" s="25">
        <v>0</v>
      </c>
      <c r="P21" s="25">
        <v>0</v>
      </c>
      <c r="Q21" s="25">
        <v>0</v>
      </c>
      <c r="R21" s="25">
        <v>106</v>
      </c>
      <c r="S21" s="25">
        <v>0</v>
      </c>
      <c r="T21" s="25">
        <v>0</v>
      </c>
      <c r="U21" s="25"/>
      <c r="V21" s="25"/>
      <c r="W21" s="25"/>
    </row>
    <row r="22" spans="1:23" ht="20.100000000000001" customHeight="1" x14ac:dyDescent="0.2">
      <c r="A22" s="23">
        <v>46254</v>
      </c>
      <c r="B22" s="24">
        <v>251</v>
      </c>
      <c r="C22" s="24">
        <v>51</v>
      </c>
      <c r="D22" s="25">
        <v>49.8</v>
      </c>
      <c r="E22" s="25">
        <v>50.2</v>
      </c>
      <c r="F22" s="25">
        <v>80</v>
      </c>
      <c r="G22" s="25">
        <v>19</v>
      </c>
      <c r="H22" s="29">
        <f t="shared" si="0"/>
        <v>0.23749999999999999</v>
      </c>
      <c r="I22" s="25">
        <v>2</v>
      </c>
      <c r="J22" s="24">
        <v>129</v>
      </c>
      <c r="K22" s="25">
        <v>102</v>
      </c>
      <c r="L22" s="25">
        <v>20</v>
      </c>
      <c r="M22" s="25">
        <v>0</v>
      </c>
      <c r="N22" s="25">
        <v>2</v>
      </c>
      <c r="O22" s="25">
        <v>0</v>
      </c>
      <c r="P22" s="25">
        <v>0</v>
      </c>
      <c r="Q22" s="25">
        <v>0</v>
      </c>
      <c r="R22" s="25">
        <v>148</v>
      </c>
      <c r="S22" s="25">
        <v>0</v>
      </c>
      <c r="T22" s="25">
        <v>0</v>
      </c>
      <c r="U22" s="25"/>
      <c r="V22" s="25"/>
      <c r="W22" s="25"/>
    </row>
    <row r="23" spans="1:23" ht="20.100000000000001" customHeight="1" x14ac:dyDescent="0.2">
      <c r="A23" s="23">
        <v>46255</v>
      </c>
      <c r="B23" s="24">
        <v>206</v>
      </c>
      <c r="C23" s="24">
        <v>62</v>
      </c>
      <c r="D23" s="25">
        <v>47.6</v>
      </c>
      <c r="E23" s="25">
        <v>52.4</v>
      </c>
      <c r="F23" s="25">
        <v>80</v>
      </c>
      <c r="G23" s="25">
        <v>24</v>
      </c>
      <c r="H23" s="29">
        <f t="shared" si="0"/>
        <v>0.3</v>
      </c>
      <c r="I23" s="25">
        <v>4</v>
      </c>
      <c r="J23" s="24">
        <v>125</v>
      </c>
      <c r="K23" s="25">
        <v>59</v>
      </c>
      <c r="L23" s="25">
        <v>22</v>
      </c>
      <c r="M23" s="25">
        <v>0</v>
      </c>
      <c r="N23" s="25">
        <v>4</v>
      </c>
      <c r="O23" s="25">
        <v>0</v>
      </c>
      <c r="P23" s="25">
        <v>0</v>
      </c>
      <c r="Q23" s="25">
        <v>0</v>
      </c>
      <c r="R23" s="25">
        <v>188</v>
      </c>
      <c r="S23" s="25">
        <v>0</v>
      </c>
      <c r="T23" s="25">
        <v>0</v>
      </c>
      <c r="U23" s="25"/>
      <c r="V23" s="25"/>
      <c r="W23" s="25"/>
    </row>
    <row r="24" spans="1:23" ht="20.100000000000001" customHeight="1" x14ac:dyDescent="0.2">
      <c r="A24" s="23">
        <v>46256</v>
      </c>
      <c r="B24" s="24">
        <v>183</v>
      </c>
      <c r="C24" s="24">
        <v>50</v>
      </c>
      <c r="D24" s="25">
        <v>21.9</v>
      </c>
      <c r="E24" s="25">
        <v>78.099999999999994</v>
      </c>
      <c r="F24" s="25">
        <v>80</v>
      </c>
      <c r="G24" s="25">
        <v>4</v>
      </c>
      <c r="H24" s="29">
        <f t="shared" si="0"/>
        <v>0.05</v>
      </c>
      <c r="I24" s="25">
        <v>3</v>
      </c>
      <c r="J24" s="24">
        <v>128</v>
      </c>
      <c r="K24" s="25">
        <v>39</v>
      </c>
      <c r="L24" s="25">
        <v>16</v>
      </c>
      <c r="M24" s="25">
        <v>0</v>
      </c>
      <c r="N24" s="25">
        <v>3</v>
      </c>
      <c r="O24" s="25">
        <v>0</v>
      </c>
      <c r="P24" s="25">
        <v>0</v>
      </c>
      <c r="Q24" s="25">
        <v>0</v>
      </c>
      <c r="R24" s="25">
        <v>144</v>
      </c>
      <c r="S24" s="25">
        <v>0</v>
      </c>
      <c r="T24" s="25">
        <v>0</v>
      </c>
      <c r="U24" s="25"/>
      <c r="V24" s="25"/>
      <c r="W24" s="25"/>
    </row>
    <row r="25" spans="1:23" ht="20.100000000000001" customHeight="1" x14ac:dyDescent="0.2">
      <c r="A25" s="23">
        <v>46257</v>
      </c>
      <c r="B25" s="24">
        <v>201</v>
      </c>
      <c r="C25" s="24">
        <v>42</v>
      </c>
      <c r="D25" s="25">
        <v>17.399999999999999</v>
      </c>
      <c r="E25" s="25">
        <v>82.6</v>
      </c>
      <c r="F25" s="25">
        <v>80</v>
      </c>
      <c r="G25" s="25">
        <v>3</v>
      </c>
      <c r="H25" s="29">
        <f t="shared" si="0"/>
        <v>3.7499999999999999E-2</v>
      </c>
      <c r="I25" s="25">
        <v>5</v>
      </c>
      <c r="J25" s="24">
        <v>144</v>
      </c>
      <c r="K25" s="25">
        <v>43</v>
      </c>
      <c r="L25" s="25">
        <v>14</v>
      </c>
      <c r="M25" s="25">
        <v>0</v>
      </c>
      <c r="N25" s="25">
        <v>5</v>
      </c>
      <c r="O25" s="25">
        <v>0</v>
      </c>
      <c r="P25" s="25">
        <v>0</v>
      </c>
      <c r="Q25" s="25">
        <v>0</v>
      </c>
      <c r="R25" s="25">
        <v>146</v>
      </c>
      <c r="S25" s="25">
        <v>0</v>
      </c>
      <c r="T25" s="25">
        <v>0</v>
      </c>
      <c r="U25" s="25"/>
      <c r="V25" s="25"/>
      <c r="W25" s="25"/>
    </row>
    <row r="26" spans="1:23" ht="20.100000000000001" customHeight="1" x14ac:dyDescent="0.2">
      <c r="A26" s="23">
        <v>46258</v>
      </c>
      <c r="B26" s="24">
        <v>259</v>
      </c>
      <c r="C26" s="24">
        <v>45</v>
      </c>
      <c r="D26" s="25">
        <v>42.9</v>
      </c>
      <c r="E26" s="25">
        <v>57.1</v>
      </c>
      <c r="F26" s="25">
        <v>80</v>
      </c>
      <c r="G26" s="25">
        <v>8</v>
      </c>
      <c r="H26" s="29">
        <f t="shared" si="0"/>
        <v>0.1</v>
      </c>
      <c r="I26" s="25">
        <v>5</v>
      </c>
      <c r="J26" s="24">
        <v>154</v>
      </c>
      <c r="K26" s="25">
        <v>56</v>
      </c>
      <c r="L26" s="25">
        <v>49</v>
      </c>
      <c r="M26" s="25">
        <v>0</v>
      </c>
      <c r="N26" s="25">
        <v>5</v>
      </c>
      <c r="O26" s="25">
        <v>0</v>
      </c>
      <c r="P26" s="25">
        <v>0</v>
      </c>
      <c r="Q26" s="25">
        <v>0</v>
      </c>
      <c r="R26" s="25">
        <v>137</v>
      </c>
      <c r="S26" s="25">
        <v>0</v>
      </c>
      <c r="T26" s="25">
        <v>0</v>
      </c>
      <c r="U26" s="25"/>
      <c r="V26" s="25"/>
      <c r="W26" s="25"/>
    </row>
    <row r="27" spans="1:23" ht="20.100000000000001" customHeight="1" x14ac:dyDescent="0.2">
      <c r="A27" s="23">
        <v>46259</v>
      </c>
      <c r="B27" s="24">
        <v>196</v>
      </c>
      <c r="C27" s="24">
        <v>46</v>
      </c>
      <c r="D27" s="25">
        <v>40.9</v>
      </c>
      <c r="E27" s="25">
        <v>59.1</v>
      </c>
      <c r="F27" s="25">
        <v>80</v>
      </c>
      <c r="G27" s="25">
        <v>7</v>
      </c>
      <c r="H27" s="29">
        <f t="shared" si="0"/>
        <v>8.7499999999999994E-2</v>
      </c>
      <c r="I27" s="25">
        <v>1</v>
      </c>
      <c r="J27" s="24">
        <v>124</v>
      </c>
      <c r="K27" s="25">
        <v>56</v>
      </c>
      <c r="L27" s="25">
        <v>13</v>
      </c>
      <c r="M27" s="25">
        <v>0</v>
      </c>
      <c r="N27" s="25">
        <v>1</v>
      </c>
      <c r="O27" s="25">
        <v>0</v>
      </c>
      <c r="P27" s="25">
        <v>0</v>
      </c>
      <c r="Q27" s="25">
        <v>0</v>
      </c>
      <c r="R27" s="25">
        <v>99</v>
      </c>
      <c r="S27" s="25">
        <v>0</v>
      </c>
      <c r="T27" s="25">
        <v>0</v>
      </c>
      <c r="U27" s="25"/>
      <c r="V27" s="25"/>
      <c r="W27" s="25"/>
    </row>
    <row r="28" spans="1:23" ht="20.100000000000001" customHeight="1" x14ac:dyDescent="0.2">
      <c r="A28" s="23">
        <v>46260</v>
      </c>
      <c r="B28" s="24">
        <v>204</v>
      </c>
      <c r="C28" s="24">
        <v>46</v>
      </c>
      <c r="D28" s="25">
        <v>57.2</v>
      </c>
      <c r="E28" s="25">
        <v>42.8</v>
      </c>
      <c r="F28" s="25">
        <v>80</v>
      </c>
      <c r="G28" s="25">
        <v>5</v>
      </c>
      <c r="H28" s="29">
        <f t="shared" si="0"/>
        <v>6.25E-2</v>
      </c>
      <c r="I28" s="25">
        <v>3</v>
      </c>
      <c r="J28" s="24">
        <v>99</v>
      </c>
      <c r="K28" s="25">
        <v>84</v>
      </c>
      <c r="L28" s="25">
        <v>18</v>
      </c>
      <c r="M28" s="25">
        <v>0</v>
      </c>
      <c r="N28" s="25">
        <v>3</v>
      </c>
      <c r="O28" s="25">
        <v>0</v>
      </c>
      <c r="P28" s="25">
        <v>0</v>
      </c>
      <c r="Q28" s="25">
        <v>0</v>
      </c>
      <c r="R28" s="25">
        <v>85</v>
      </c>
      <c r="S28" s="25">
        <v>0</v>
      </c>
      <c r="T28" s="25">
        <v>0</v>
      </c>
      <c r="U28" s="25"/>
      <c r="V28" s="25"/>
      <c r="W28" s="25"/>
    </row>
    <row r="29" spans="1:23" ht="20.100000000000001" customHeight="1" x14ac:dyDescent="0.2">
      <c r="A29" s="23">
        <v>46261</v>
      </c>
      <c r="B29" s="24">
        <v>207</v>
      </c>
      <c r="C29" s="24">
        <v>40</v>
      </c>
      <c r="D29" s="25">
        <v>59.4</v>
      </c>
      <c r="E29" s="25">
        <v>40.6</v>
      </c>
      <c r="F29" s="25">
        <v>80</v>
      </c>
      <c r="G29" s="25">
        <v>-3</v>
      </c>
      <c r="H29" s="29">
        <f t="shared" si="0"/>
        <v>-3.7499999999999999E-2</v>
      </c>
      <c r="I29" s="25">
        <v>2</v>
      </c>
      <c r="J29" s="24">
        <v>96</v>
      </c>
      <c r="K29" s="25">
        <v>84</v>
      </c>
      <c r="L29" s="25">
        <v>27</v>
      </c>
      <c r="M29" s="25">
        <v>0</v>
      </c>
      <c r="N29" s="25">
        <v>2</v>
      </c>
      <c r="O29" s="25">
        <v>0</v>
      </c>
      <c r="P29" s="25">
        <v>0</v>
      </c>
      <c r="Q29" s="25">
        <v>0</v>
      </c>
      <c r="R29" s="25">
        <v>65</v>
      </c>
      <c r="S29" s="25">
        <v>0</v>
      </c>
      <c r="T29" s="25">
        <v>0</v>
      </c>
      <c r="U29" s="25"/>
      <c r="V29" s="25"/>
      <c r="W29" s="25"/>
    </row>
    <row r="30" spans="1:23" ht="20.100000000000001" customHeight="1" x14ac:dyDescent="0.2">
      <c r="A30" s="23">
        <v>46262</v>
      </c>
      <c r="B30" s="24">
        <v>145</v>
      </c>
      <c r="C30" s="24">
        <v>35</v>
      </c>
      <c r="D30" s="25">
        <v>31.7</v>
      </c>
      <c r="E30" s="25">
        <v>68.3</v>
      </c>
      <c r="F30" s="25">
        <v>80</v>
      </c>
      <c r="G30" s="25">
        <v>-1</v>
      </c>
      <c r="H30" s="29">
        <f t="shared" si="0"/>
        <v>-1.2500000000000001E-2</v>
      </c>
      <c r="I30" s="25">
        <v>3</v>
      </c>
      <c r="J30" s="24">
        <v>113</v>
      </c>
      <c r="K30" s="25">
        <v>23</v>
      </c>
      <c r="L30" s="25">
        <v>9</v>
      </c>
      <c r="M30" s="25">
        <v>0</v>
      </c>
      <c r="N30" s="25">
        <v>3</v>
      </c>
      <c r="O30" s="25">
        <v>0</v>
      </c>
      <c r="P30" s="25">
        <v>0</v>
      </c>
      <c r="Q30" s="25">
        <v>0</v>
      </c>
      <c r="R30" s="25">
        <v>85</v>
      </c>
      <c r="S30" s="25">
        <v>0</v>
      </c>
      <c r="T30" s="25">
        <v>0</v>
      </c>
      <c r="U30" s="25"/>
      <c r="V30" s="25"/>
      <c r="W30" s="25"/>
    </row>
    <row r="31" spans="1:23" ht="20.100000000000001" customHeight="1" x14ac:dyDescent="0.2">
      <c r="A31" s="23">
        <v>46263</v>
      </c>
      <c r="B31" s="24">
        <v>627</v>
      </c>
      <c r="C31" s="24">
        <v>398</v>
      </c>
      <c r="D31" s="25">
        <v>83.6</v>
      </c>
      <c r="E31" s="25">
        <v>16.399999999999999</v>
      </c>
      <c r="F31" s="25">
        <v>80</v>
      </c>
      <c r="G31" s="25">
        <v>4</v>
      </c>
      <c r="H31" s="29">
        <f t="shared" si="0"/>
        <v>0.05</v>
      </c>
      <c r="I31" s="25">
        <v>17</v>
      </c>
      <c r="J31" s="24">
        <v>488</v>
      </c>
      <c r="K31" s="25">
        <v>121</v>
      </c>
      <c r="L31" s="25">
        <v>18</v>
      </c>
      <c r="M31" s="25">
        <v>0</v>
      </c>
      <c r="N31" s="25">
        <v>14</v>
      </c>
      <c r="O31" s="25">
        <v>3</v>
      </c>
      <c r="P31" s="25">
        <v>0</v>
      </c>
      <c r="Q31" s="25">
        <v>0</v>
      </c>
      <c r="R31" s="25">
        <v>127</v>
      </c>
      <c r="S31" s="25">
        <v>0</v>
      </c>
      <c r="T31" s="25">
        <v>0</v>
      </c>
      <c r="U31" s="25"/>
      <c r="V31" s="25"/>
      <c r="W31" s="25"/>
    </row>
    <row r="32" spans="1:23" ht="20.100000000000001" customHeight="1" x14ac:dyDescent="0.2">
      <c r="A32" s="23">
        <v>46264</v>
      </c>
      <c r="B32" s="26">
        <v>898</v>
      </c>
      <c r="C32" s="26">
        <v>657</v>
      </c>
      <c r="D32" s="27">
        <v>88.1</v>
      </c>
      <c r="E32" s="27">
        <v>11.9</v>
      </c>
      <c r="F32" s="25">
        <v>80</v>
      </c>
      <c r="G32" s="27">
        <v>2</v>
      </c>
      <c r="H32" s="29">
        <f t="shared" si="0"/>
        <v>2.5000000000000001E-2</v>
      </c>
      <c r="I32" s="27">
        <v>16</v>
      </c>
      <c r="J32" s="26">
        <v>782</v>
      </c>
      <c r="K32" s="27">
        <v>96</v>
      </c>
      <c r="L32" s="27">
        <v>20</v>
      </c>
      <c r="M32" s="27">
        <v>0</v>
      </c>
      <c r="N32" s="27">
        <v>15</v>
      </c>
      <c r="O32" s="27">
        <v>1</v>
      </c>
      <c r="P32" s="27">
        <v>0</v>
      </c>
      <c r="Q32" s="27">
        <v>0</v>
      </c>
      <c r="R32" s="27">
        <v>132</v>
      </c>
      <c r="S32" s="27">
        <v>0</v>
      </c>
      <c r="T32" s="27">
        <v>0</v>
      </c>
    </row>
    <row r="33" spans="1:20" ht="19.5" customHeight="1" x14ac:dyDescent="0.2">
      <c r="A33" s="28">
        <v>46265</v>
      </c>
      <c r="B33" s="26">
        <v>1438</v>
      </c>
      <c r="C33" s="26">
        <v>750</v>
      </c>
      <c r="D33" s="27">
        <v>78.5</v>
      </c>
      <c r="E33" s="27">
        <v>21.5</v>
      </c>
      <c r="F33" s="25">
        <v>80</v>
      </c>
      <c r="G33" s="27">
        <v>4</v>
      </c>
      <c r="H33" s="29">
        <f t="shared" si="0"/>
        <v>0.05</v>
      </c>
      <c r="I33" s="27">
        <v>14</v>
      </c>
      <c r="J33" s="26">
        <v>1194</v>
      </c>
      <c r="K33" s="27">
        <v>188</v>
      </c>
      <c r="L33" s="27">
        <v>56</v>
      </c>
      <c r="M33" s="27">
        <v>0</v>
      </c>
      <c r="N33" s="27">
        <v>12</v>
      </c>
      <c r="O33" s="27">
        <v>2</v>
      </c>
      <c r="P33" s="27">
        <v>0</v>
      </c>
      <c r="Q33" s="27">
        <v>0</v>
      </c>
      <c r="R33" s="27">
        <v>171</v>
      </c>
      <c r="S33" s="27">
        <v>0</v>
      </c>
      <c r="T33" s="27">
        <v>0</v>
      </c>
    </row>
  </sheetData>
  <mergeCells count="8">
    <mergeCell ref="A1:A2"/>
    <mergeCell ref="V1:V2"/>
    <mergeCell ref="W1:W2"/>
    <mergeCell ref="U1:U2"/>
    <mergeCell ref="B1:I1"/>
    <mergeCell ref="J1:M1"/>
    <mergeCell ref="N1:Q1"/>
    <mergeCell ref="R1:T1"/>
  </mergeCells>
  <phoneticPr fontId="10"/>
  <pageMargins left="0.75" right="0.75" top="1" bottom="1" header="0.5" footer="0.5"/>
  <pageSetup paperSize="9" scale="66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19661-C960-4191-9EB5-8BDAF97FEF6D}">
  <dimension ref="A1:W33"/>
  <sheetViews>
    <sheetView tabSelected="1" view="pageBreakPreview" zoomScale="90" zoomScaleNormal="100" zoomScaleSheetLayoutView="90" workbookViewId="0">
      <selection activeCell="T33" sqref="T33"/>
    </sheetView>
  </sheetViews>
  <sheetFormatPr defaultColWidth="8.875" defaultRowHeight="13.5" x14ac:dyDescent="0.15"/>
  <cols>
    <col min="1" max="1" width="9.5" style="14" bestFit="1" customWidth="1"/>
    <col min="2" max="2" width="6.375" style="17" bestFit="1" customWidth="1"/>
    <col min="3" max="3" width="8" style="17" bestFit="1" customWidth="1"/>
    <col min="4" max="4" width="14.625" style="11" bestFit="1" customWidth="1"/>
    <col min="5" max="6" width="17" style="11" customWidth="1"/>
    <col min="7" max="8" width="13.375" style="11" customWidth="1"/>
    <col min="9" max="9" width="12.75" style="11" customWidth="1"/>
    <col min="10" max="10" width="11.125" style="17" customWidth="1"/>
    <col min="11" max="13" width="7" style="11" customWidth="1"/>
    <col min="14" max="14" width="9.5" style="11" customWidth="1"/>
    <col min="15" max="15" width="5.875" style="11" bestFit="1" customWidth="1"/>
    <col min="16" max="16" width="4.75" style="11" bestFit="1" customWidth="1"/>
    <col min="17" max="17" width="5.375" style="11" bestFit="1" customWidth="1"/>
    <col min="18" max="18" width="9.625" style="11" bestFit="1" customWidth="1"/>
    <col min="19" max="19" width="11.75" style="11" customWidth="1"/>
    <col min="20" max="20" width="9" style="11" bestFit="1" customWidth="1"/>
    <col min="21" max="21" width="5.375" style="11" bestFit="1" customWidth="1"/>
    <col min="22" max="22" width="14.625" style="11" customWidth="1"/>
    <col min="23" max="23" width="12.75" style="11" customWidth="1"/>
    <col min="24" max="16384" width="8.875" style="11"/>
  </cols>
  <sheetData>
    <row r="1" spans="1:23" s="35" customFormat="1" ht="23.25" customHeight="1" x14ac:dyDescent="0.15">
      <c r="A1" s="54" t="s">
        <v>225</v>
      </c>
      <c r="B1" s="56" t="s">
        <v>226</v>
      </c>
      <c r="C1" s="57"/>
      <c r="D1" s="57"/>
      <c r="E1" s="57"/>
      <c r="F1" s="57"/>
      <c r="G1" s="57"/>
      <c r="H1" s="57"/>
      <c r="I1" s="58"/>
      <c r="J1" s="56" t="s">
        <v>227</v>
      </c>
      <c r="K1" s="57"/>
      <c r="L1" s="57"/>
      <c r="M1" s="58"/>
      <c r="N1" s="59" t="s">
        <v>228</v>
      </c>
      <c r="O1" s="60"/>
      <c r="P1" s="60"/>
      <c r="Q1" s="61"/>
      <c r="R1" s="59" t="s">
        <v>229</v>
      </c>
      <c r="S1" s="60"/>
      <c r="T1" s="61"/>
      <c r="U1" s="52" t="s">
        <v>230</v>
      </c>
      <c r="V1" s="52" t="s">
        <v>231</v>
      </c>
      <c r="W1" s="52" t="s">
        <v>232</v>
      </c>
    </row>
    <row r="2" spans="1:23" s="35" customFormat="1" ht="23.25" customHeight="1" x14ac:dyDescent="0.15">
      <c r="A2" s="55"/>
      <c r="B2" s="36" t="s">
        <v>233</v>
      </c>
      <c r="C2" s="36" t="s">
        <v>234</v>
      </c>
      <c r="D2" s="37" t="s">
        <v>235</v>
      </c>
      <c r="E2" s="37" t="s">
        <v>236</v>
      </c>
      <c r="F2" s="38" t="s">
        <v>237</v>
      </c>
      <c r="G2" s="37" t="s">
        <v>238</v>
      </c>
      <c r="H2" s="37" t="s">
        <v>239</v>
      </c>
      <c r="I2" s="37" t="s">
        <v>240</v>
      </c>
      <c r="J2" s="36" t="s">
        <v>241</v>
      </c>
      <c r="K2" s="37" t="s">
        <v>242</v>
      </c>
      <c r="L2" s="37" t="s">
        <v>243</v>
      </c>
      <c r="M2" s="37" t="s">
        <v>244</v>
      </c>
      <c r="N2" s="37" t="s">
        <v>241</v>
      </c>
      <c r="O2" s="37" t="s">
        <v>242</v>
      </c>
      <c r="P2" s="37" t="s">
        <v>243</v>
      </c>
      <c r="Q2" s="37" t="s">
        <v>244</v>
      </c>
      <c r="R2" s="37" t="s">
        <v>245</v>
      </c>
      <c r="S2" s="37" t="s">
        <v>246</v>
      </c>
      <c r="T2" s="37" t="s">
        <v>247</v>
      </c>
      <c r="U2" s="53"/>
      <c r="V2" s="53"/>
      <c r="W2" s="53"/>
    </row>
    <row r="3" spans="1:23" ht="20.100000000000001" customHeight="1" x14ac:dyDescent="0.2">
      <c r="A3" s="23">
        <v>46266</v>
      </c>
      <c r="B3" s="24">
        <v>2362</v>
      </c>
      <c r="C3" s="24">
        <v>702</v>
      </c>
      <c r="D3" s="25">
        <v>83.7</v>
      </c>
      <c r="E3" s="25">
        <v>16.3</v>
      </c>
      <c r="F3" s="25">
        <v>80</v>
      </c>
      <c r="G3" s="25">
        <v>8</v>
      </c>
      <c r="H3" s="29">
        <f>G3/F3</f>
        <v>0.1</v>
      </c>
      <c r="I3" s="25">
        <v>25</v>
      </c>
      <c r="J3" s="24">
        <v>2047</v>
      </c>
      <c r="K3" s="25">
        <v>223</v>
      </c>
      <c r="L3" s="25">
        <v>89</v>
      </c>
      <c r="M3" s="25">
        <v>0</v>
      </c>
      <c r="N3" s="25">
        <v>21</v>
      </c>
      <c r="O3" s="25">
        <v>3</v>
      </c>
      <c r="P3" s="25">
        <v>1</v>
      </c>
      <c r="Q3" s="25">
        <v>0</v>
      </c>
      <c r="R3" s="25">
        <v>201</v>
      </c>
      <c r="S3" s="25">
        <v>0</v>
      </c>
      <c r="T3" s="25">
        <v>0</v>
      </c>
      <c r="U3" s="25"/>
      <c r="V3" s="25"/>
      <c r="W3" s="25"/>
    </row>
    <row r="4" spans="1:23" ht="20.25" customHeight="1" x14ac:dyDescent="0.2">
      <c r="A4" s="23">
        <v>46267</v>
      </c>
      <c r="B4" s="24">
        <v>2775</v>
      </c>
      <c r="C4" s="24">
        <v>605</v>
      </c>
      <c r="D4" s="25">
        <v>86.9</v>
      </c>
      <c r="E4" s="25">
        <v>13.1</v>
      </c>
      <c r="F4" s="25">
        <v>80</v>
      </c>
      <c r="G4" s="25">
        <v>18</v>
      </c>
      <c r="H4" s="29">
        <f t="shared" ref="H4:H32" si="0">G4/F4</f>
        <v>0.22500000000000001</v>
      </c>
      <c r="I4" s="25">
        <v>39</v>
      </c>
      <c r="J4" s="24">
        <v>2478</v>
      </c>
      <c r="K4" s="25">
        <v>209</v>
      </c>
      <c r="L4" s="25">
        <v>85</v>
      </c>
      <c r="M4" s="25">
        <v>0</v>
      </c>
      <c r="N4" s="25">
        <v>36</v>
      </c>
      <c r="O4" s="25">
        <v>2</v>
      </c>
      <c r="P4" s="25">
        <v>1</v>
      </c>
      <c r="Q4" s="25">
        <v>0</v>
      </c>
      <c r="R4" s="25">
        <v>193</v>
      </c>
      <c r="S4" s="25">
        <v>2</v>
      </c>
      <c r="T4" s="25">
        <v>0</v>
      </c>
      <c r="U4" s="25"/>
      <c r="V4" s="25"/>
      <c r="W4" s="25"/>
    </row>
    <row r="5" spans="1:23" ht="20.100000000000001" customHeight="1" x14ac:dyDescent="0.2">
      <c r="A5" s="23">
        <v>46268</v>
      </c>
      <c r="B5" s="24">
        <v>1896</v>
      </c>
      <c r="C5" s="24">
        <v>687</v>
      </c>
      <c r="D5" s="25">
        <v>85.6</v>
      </c>
      <c r="E5" s="25">
        <v>14.4</v>
      </c>
      <c r="F5" s="25">
        <v>80</v>
      </c>
      <c r="G5" s="25">
        <v>16</v>
      </c>
      <c r="H5" s="29">
        <f t="shared" si="0"/>
        <v>0.2</v>
      </c>
      <c r="I5" s="25">
        <v>33</v>
      </c>
      <c r="J5" s="24">
        <v>1664</v>
      </c>
      <c r="K5" s="25">
        <v>177</v>
      </c>
      <c r="L5" s="25">
        <v>53</v>
      </c>
      <c r="M5" s="25">
        <v>0</v>
      </c>
      <c r="N5" s="25">
        <v>33</v>
      </c>
      <c r="O5" s="25">
        <v>0</v>
      </c>
      <c r="P5" s="25">
        <v>0</v>
      </c>
      <c r="Q5" s="25">
        <v>0</v>
      </c>
      <c r="R5" s="25">
        <v>154</v>
      </c>
      <c r="S5" s="25">
        <v>3</v>
      </c>
      <c r="T5" s="25">
        <v>0</v>
      </c>
      <c r="U5" s="25"/>
      <c r="V5" s="25"/>
      <c r="W5" s="25"/>
    </row>
    <row r="6" spans="1:23" ht="20.100000000000001" customHeight="1" x14ac:dyDescent="0.2">
      <c r="A6" s="23">
        <v>46269</v>
      </c>
      <c r="B6" s="24">
        <v>487</v>
      </c>
      <c r="C6" s="24">
        <v>224</v>
      </c>
      <c r="D6" s="25">
        <v>82.9</v>
      </c>
      <c r="E6" s="25">
        <v>17.100000000000001</v>
      </c>
      <c r="F6" s="25">
        <v>80</v>
      </c>
      <c r="G6" s="25">
        <v>5</v>
      </c>
      <c r="H6" s="29">
        <f t="shared" si="0"/>
        <v>6.25E-2</v>
      </c>
      <c r="I6" s="25">
        <v>7</v>
      </c>
      <c r="J6" s="24">
        <v>376</v>
      </c>
      <c r="K6" s="25">
        <v>89</v>
      </c>
      <c r="L6" s="25">
        <v>20</v>
      </c>
      <c r="M6" s="25">
        <v>0</v>
      </c>
      <c r="N6" s="25">
        <v>7</v>
      </c>
      <c r="O6" s="25">
        <v>0</v>
      </c>
      <c r="P6" s="25">
        <v>0</v>
      </c>
      <c r="Q6" s="25">
        <v>0</v>
      </c>
      <c r="R6" s="25">
        <v>88</v>
      </c>
      <c r="S6" s="25">
        <v>1</v>
      </c>
      <c r="T6" s="25">
        <v>0</v>
      </c>
      <c r="U6" s="25"/>
      <c r="V6" s="25"/>
      <c r="W6" s="25"/>
    </row>
    <row r="7" spans="1:23" ht="20.100000000000001" customHeight="1" x14ac:dyDescent="0.2">
      <c r="A7" s="23">
        <v>46270</v>
      </c>
      <c r="B7" s="24">
        <v>210</v>
      </c>
      <c r="C7" s="24">
        <v>45</v>
      </c>
      <c r="D7" s="25">
        <v>21.9</v>
      </c>
      <c r="E7" s="25">
        <v>78.099999999999994</v>
      </c>
      <c r="F7" s="25">
        <v>80</v>
      </c>
      <c r="G7" s="25">
        <v>6</v>
      </c>
      <c r="H7" s="29">
        <f t="shared" si="0"/>
        <v>7.4999999999999997E-2</v>
      </c>
      <c r="I7" s="25">
        <v>0</v>
      </c>
      <c r="J7" s="24">
        <v>36</v>
      </c>
      <c r="K7" s="25">
        <v>8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90</v>
      </c>
      <c r="S7" s="25">
        <v>0</v>
      </c>
      <c r="T7" s="25">
        <v>0</v>
      </c>
      <c r="U7" s="25"/>
      <c r="V7" s="25"/>
      <c r="W7" s="25"/>
    </row>
    <row r="8" spans="1:23" ht="20.100000000000001" customHeight="1" x14ac:dyDescent="0.2">
      <c r="A8" s="23">
        <v>46271</v>
      </c>
      <c r="B8" s="24">
        <v>1048</v>
      </c>
      <c r="C8" s="24">
        <v>667</v>
      </c>
      <c r="D8" s="25">
        <v>77.900000000000006</v>
      </c>
      <c r="E8" s="25">
        <v>22.1</v>
      </c>
      <c r="F8" s="25">
        <v>80</v>
      </c>
      <c r="G8" s="25">
        <v>20</v>
      </c>
      <c r="H8" s="29">
        <f t="shared" si="0"/>
        <v>0.25</v>
      </c>
      <c r="I8" s="25">
        <v>16</v>
      </c>
      <c r="J8" s="24">
        <v>772</v>
      </c>
      <c r="K8" s="25">
        <v>218</v>
      </c>
      <c r="L8" s="25">
        <v>58</v>
      </c>
      <c r="M8" s="25">
        <v>0</v>
      </c>
      <c r="N8" s="25">
        <v>16</v>
      </c>
      <c r="O8" s="25">
        <v>0</v>
      </c>
      <c r="P8" s="25">
        <v>0</v>
      </c>
      <c r="Q8" s="25">
        <v>0</v>
      </c>
      <c r="R8" s="25">
        <v>164</v>
      </c>
      <c r="S8" s="25">
        <v>5</v>
      </c>
      <c r="T8" s="25">
        <v>0</v>
      </c>
      <c r="U8" s="25"/>
      <c r="V8" s="25"/>
      <c r="W8" s="25"/>
    </row>
    <row r="9" spans="1:23" ht="20.100000000000001" customHeight="1" x14ac:dyDescent="0.2">
      <c r="A9" s="23">
        <v>46272</v>
      </c>
      <c r="B9" s="24">
        <v>1134</v>
      </c>
      <c r="C9" s="24">
        <v>721</v>
      </c>
      <c r="D9" s="25">
        <v>81.5</v>
      </c>
      <c r="E9" s="25">
        <v>18.5</v>
      </c>
      <c r="F9" s="25">
        <v>80</v>
      </c>
      <c r="G9" s="25">
        <v>25</v>
      </c>
      <c r="H9" s="29">
        <f t="shared" si="0"/>
        <v>0.3125</v>
      </c>
      <c r="I9" s="25">
        <v>19</v>
      </c>
      <c r="J9" s="24">
        <v>902</v>
      </c>
      <c r="K9" s="25">
        <v>160</v>
      </c>
      <c r="L9" s="25">
        <v>72</v>
      </c>
      <c r="M9" s="25">
        <v>0</v>
      </c>
      <c r="N9" s="25">
        <v>18</v>
      </c>
      <c r="O9" s="25">
        <v>1</v>
      </c>
      <c r="P9" s="25">
        <v>0</v>
      </c>
      <c r="Q9" s="25">
        <v>0</v>
      </c>
      <c r="R9" s="25">
        <v>157</v>
      </c>
      <c r="S9" s="25">
        <v>7</v>
      </c>
      <c r="T9" s="25">
        <v>0</v>
      </c>
      <c r="U9" s="25"/>
      <c r="V9" s="25"/>
      <c r="W9" s="25"/>
    </row>
    <row r="10" spans="1:23" ht="20.100000000000001" customHeight="1" x14ac:dyDescent="0.2">
      <c r="A10" s="23">
        <v>46273</v>
      </c>
      <c r="B10" s="24">
        <v>1003</v>
      </c>
      <c r="C10" s="24">
        <v>600</v>
      </c>
      <c r="D10" s="25">
        <v>76.900000000000006</v>
      </c>
      <c r="E10" s="25">
        <v>23.1</v>
      </c>
      <c r="F10" s="25">
        <v>80</v>
      </c>
      <c r="G10" s="25">
        <v>12</v>
      </c>
      <c r="H10" s="29">
        <f t="shared" si="0"/>
        <v>0.15</v>
      </c>
      <c r="I10" s="25">
        <v>18</v>
      </c>
      <c r="J10" s="24">
        <v>793</v>
      </c>
      <c r="K10" s="25">
        <v>161</v>
      </c>
      <c r="L10" s="25">
        <v>49</v>
      </c>
      <c r="M10" s="25">
        <v>0</v>
      </c>
      <c r="N10" s="25">
        <v>15</v>
      </c>
      <c r="O10" s="25">
        <v>2</v>
      </c>
      <c r="P10" s="25">
        <v>1</v>
      </c>
      <c r="Q10" s="25">
        <v>0</v>
      </c>
      <c r="R10" s="25">
        <v>135</v>
      </c>
      <c r="S10" s="25">
        <v>4</v>
      </c>
      <c r="T10" s="25">
        <v>0</v>
      </c>
      <c r="U10" s="25"/>
      <c r="V10" s="25"/>
      <c r="W10" s="25"/>
    </row>
    <row r="11" spans="1:23" ht="20.100000000000001" customHeight="1" x14ac:dyDescent="0.2">
      <c r="A11" s="23">
        <v>46274</v>
      </c>
      <c r="B11" s="24">
        <v>882</v>
      </c>
      <c r="C11" s="24">
        <v>550</v>
      </c>
      <c r="D11" s="25">
        <v>77.7</v>
      </c>
      <c r="E11" s="25">
        <v>22.3</v>
      </c>
      <c r="F11" s="25">
        <v>80</v>
      </c>
      <c r="G11" s="25">
        <v>8</v>
      </c>
      <c r="H11" s="29">
        <f t="shared" si="0"/>
        <v>0.1</v>
      </c>
      <c r="I11" s="25">
        <v>15</v>
      </c>
      <c r="J11" s="24">
        <v>661</v>
      </c>
      <c r="K11" s="25">
        <v>179</v>
      </c>
      <c r="L11" s="25">
        <v>42</v>
      </c>
      <c r="M11" s="25">
        <v>0</v>
      </c>
      <c r="N11" s="25">
        <v>13</v>
      </c>
      <c r="O11" s="25">
        <v>1</v>
      </c>
      <c r="P11" s="25">
        <v>1</v>
      </c>
      <c r="Q11" s="25">
        <v>0</v>
      </c>
      <c r="R11" s="25">
        <v>133</v>
      </c>
      <c r="S11" s="25">
        <v>2</v>
      </c>
      <c r="T11" s="25">
        <v>0</v>
      </c>
      <c r="U11" s="25"/>
      <c r="V11" s="25"/>
      <c r="W11" s="25"/>
    </row>
    <row r="12" spans="1:23" ht="20.100000000000001" customHeight="1" x14ac:dyDescent="0.2">
      <c r="A12" s="23">
        <v>46275</v>
      </c>
      <c r="B12" s="24">
        <v>946</v>
      </c>
      <c r="C12" s="24">
        <v>634</v>
      </c>
      <c r="D12" s="25">
        <v>76.599999999999994</v>
      </c>
      <c r="E12" s="25">
        <v>23.4</v>
      </c>
      <c r="F12" s="25">
        <v>80</v>
      </c>
      <c r="G12" s="25">
        <v>6</v>
      </c>
      <c r="H12" s="29">
        <f t="shared" si="0"/>
        <v>7.4999999999999997E-2</v>
      </c>
      <c r="I12" s="25">
        <v>14</v>
      </c>
      <c r="J12" s="24">
        <v>727</v>
      </c>
      <c r="K12" s="25">
        <v>186</v>
      </c>
      <c r="L12" s="25">
        <v>33</v>
      </c>
      <c r="M12" s="25">
        <v>0</v>
      </c>
      <c r="N12" s="25">
        <v>13</v>
      </c>
      <c r="O12" s="25">
        <v>1</v>
      </c>
      <c r="P12" s="25">
        <v>0</v>
      </c>
      <c r="Q12" s="25">
        <v>0</v>
      </c>
      <c r="R12" s="25">
        <v>133</v>
      </c>
      <c r="S12" s="25">
        <v>6</v>
      </c>
      <c r="T12" s="25">
        <v>0</v>
      </c>
      <c r="U12" s="25"/>
      <c r="V12" s="25"/>
      <c r="W12" s="25"/>
    </row>
    <row r="13" spans="1:23" ht="20.100000000000001" customHeight="1" x14ac:dyDescent="0.2">
      <c r="A13" s="23">
        <v>46276</v>
      </c>
      <c r="B13" s="24">
        <v>953</v>
      </c>
      <c r="C13" s="24">
        <v>639</v>
      </c>
      <c r="D13" s="25">
        <v>76.8</v>
      </c>
      <c r="E13" s="25">
        <v>23.3</v>
      </c>
      <c r="F13" s="25">
        <v>80</v>
      </c>
      <c r="G13" s="25">
        <v>7</v>
      </c>
      <c r="H13" s="29">
        <f t="shared" si="0"/>
        <v>8.7499999999999994E-2</v>
      </c>
      <c r="I13" s="25">
        <v>14</v>
      </c>
      <c r="J13" s="24">
        <v>748</v>
      </c>
      <c r="K13" s="25">
        <v>171</v>
      </c>
      <c r="L13" s="25">
        <v>34</v>
      </c>
      <c r="M13" s="25">
        <v>0</v>
      </c>
      <c r="N13" s="25">
        <v>13</v>
      </c>
      <c r="O13" s="25">
        <v>1</v>
      </c>
      <c r="P13" s="25">
        <v>0</v>
      </c>
      <c r="Q13" s="25">
        <v>0</v>
      </c>
      <c r="R13" s="25">
        <v>127</v>
      </c>
      <c r="S13" s="25">
        <v>6</v>
      </c>
      <c r="T13" s="25">
        <v>0</v>
      </c>
      <c r="U13" s="25"/>
      <c r="V13" s="25"/>
      <c r="W13" s="25"/>
    </row>
    <row r="14" spans="1:23" ht="20.100000000000001" customHeight="1" x14ac:dyDescent="0.2">
      <c r="A14" s="23">
        <v>46277</v>
      </c>
      <c r="B14" s="24">
        <v>1499</v>
      </c>
      <c r="C14" s="24">
        <v>254</v>
      </c>
      <c r="D14" s="25">
        <v>81.5</v>
      </c>
      <c r="E14" s="25">
        <v>18.5</v>
      </c>
      <c r="F14" s="25">
        <v>80</v>
      </c>
      <c r="G14" s="25">
        <v>5</v>
      </c>
      <c r="H14" s="29">
        <f t="shared" si="0"/>
        <v>6.25E-2</v>
      </c>
      <c r="I14" s="25">
        <v>11</v>
      </c>
      <c r="J14" s="24">
        <v>1290</v>
      </c>
      <c r="K14" s="25">
        <v>181</v>
      </c>
      <c r="L14" s="25">
        <v>28</v>
      </c>
      <c r="M14" s="25">
        <v>0</v>
      </c>
      <c r="N14" s="25">
        <v>10</v>
      </c>
      <c r="O14" s="25">
        <v>1</v>
      </c>
      <c r="P14" s="25">
        <v>0</v>
      </c>
      <c r="Q14" s="25">
        <v>0</v>
      </c>
      <c r="R14" s="25">
        <v>103</v>
      </c>
      <c r="S14" s="25">
        <v>2</v>
      </c>
      <c r="T14" s="25">
        <v>0</v>
      </c>
      <c r="U14" s="25"/>
      <c r="V14" s="25"/>
      <c r="W14" s="25"/>
    </row>
    <row r="15" spans="1:23" ht="20.100000000000001" customHeight="1" x14ac:dyDescent="0.2">
      <c r="A15" s="23">
        <v>46278</v>
      </c>
      <c r="B15" s="24">
        <v>2074</v>
      </c>
      <c r="C15" s="24">
        <v>349</v>
      </c>
      <c r="D15" s="25">
        <v>85.5</v>
      </c>
      <c r="E15" s="25">
        <v>14.5</v>
      </c>
      <c r="F15" s="25">
        <v>80</v>
      </c>
      <c r="G15" s="25">
        <v>2</v>
      </c>
      <c r="H15" s="29">
        <f t="shared" si="0"/>
        <v>2.5000000000000001E-2</v>
      </c>
      <c r="I15" s="25">
        <v>19</v>
      </c>
      <c r="J15" s="24">
        <v>1858</v>
      </c>
      <c r="K15" s="25">
        <v>180</v>
      </c>
      <c r="L15" s="25">
        <v>35</v>
      </c>
      <c r="M15" s="25">
        <v>0</v>
      </c>
      <c r="N15" s="25">
        <v>18</v>
      </c>
      <c r="O15" s="25">
        <v>1</v>
      </c>
      <c r="P15" s="25">
        <v>0</v>
      </c>
      <c r="Q15" s="25">
        <v>0</v>
      </c>
      <c r="R15" s="25">
        <v>109</v>
      </c>
      <c r="S15" s="25">
        <v>2</v>
      </c>
      <c r="T15" s="25">
        <v>0</v>
      </c>
      <c r="U15" s="25"/>
      <c r="V15" s="25"/>
      <c r="W15" s="25"/>
    </row>
    <row r="16" spans="1:23" ht="20.100000000000001" customHeight="1" x14ac:dyDescent="0.2">
      <c r="A16" s="23">
        <v>46279</v>
      </c>
      <c r="B16" s="24">
        <v>1454</v>
      </c>
      <c r="C16" s="24">
        <v>679</v>
      </c>
      <c r="D16" s="25">
        <v>92.2</v>
      </c>
      <c r="E16" s="25">
        <v>7.8</v>
      </c>
      <c r="F16" s="25">
        <v>80</v>
      </c>
      <c r="G16" s="25">
        <v>-1</v>
      </c>
      <c r="H16" s="29">
        <f t="shared" si="0"/>
        <v>-1.2500000000000001E-2</v>
      </c>
      <c r="I16" s="25">
        <v>20</v>
      </c>
      <c r="J16" s="24">
        <v>1331</v>
      </c>
      <c r="K16" s="25">
        <v>92</v>
      </c>
      <c r="L16" s="25">
        <v>30</v>
      </c>
      <c r="M16" s="25">
        <v>0</v>
      </c>
      <c r="N16" s="25">
        <v>20</v>
      </c>
      <c r="O16" s="25">
        <v>0</v>
      </c>
      <c r="P16" s="25">
        <v>0</v>
      </c>
      <c r="Q16" s="25">
        <v>0</v>
      </c>
      <c r="R16" s="25">
        <v>112</v>
      </c>
      <c r="S16" s="25">
        <v>2</v>
      </c>
      <c r="T16" s="25">
        <v>0</v>
      </c>
      <c r="U16" s="25"/>
      <c r="V16" s="25"/>
      <c r="W16" s="25"/>
    </row>
    <row r="17" spans="1:23" ht="20.100000000000001" customHeight="1" x14ac:dyDescent="0.2">
      <c r="A17" s="23">
        <v>46280</v>
      </c>
      <c r="B17" s="24">
        <v>993</v>
      </c>
      <c r="C17" s="24">
        <v>751</v>
      </c>
      <c r="D17" s="25">
        <v>91.5</v>
      </c>
      <c r="E17" s="25">
        <v>8.5</v>
      </c>
      <c r="F17" s="25">
        <v>80</v>
      </c>
      <c r="G17" s="25">
        <v>-1</v>
      </c>
      <c r="H17" s="29">
        <f t="shared" si="0"/>
        <v>-1.2500000000000001E-2</v>
      </c>
      <c r="I17" s="25">
        <v>17</v>
      </c>
      <c r="J17" s="24">
        <v>890</v>
      </c>
      <c r="K17" s="25">
        <v>80</v>
      </c>
      <c r="L17" s="25">
        <v>23</v>
      </c>
      <c r="M17" s="25">
        <v>0</v>
      </c>
      <c r="N17" s="25">
        <v>17</v>
      </c>
      <c r="O17" s="25">
        <v>0</v>
      </c>
      <c r="P17" s="25">
        <v>0</v>
      </c>
      <c r="Q17" s="25">
        <v>0</v>
      </c>
      <c r="R17" s="25">
        <v>121</v>
      </c>
      <c r="S17" s="25">
        <v>2</v>
      </c>
      <c r="T17" s="25">
        <v>0</v>
      </c>
      <c r="U17" s="25"/>
      <c r="V17" s="25"/>
      <c r="W17" s="25"/>
    </row>
    <row r="18" spans="1:23" ht="20.100000000000001" customHeight="1" x14ac:dyDescent="0.2">
      <c r="A18" s="23">
        <v>46281</v>
      </c>
      <c r="B18" s="24">
        <v>281</v>
      </c>
      <c r="C18" s="24">
        <v>157</v>
      </c>
      <c r="D18" s="25">
        <v>60.1</v>
      </c>
      <c r="E18" s="25">
        <v>39.9</v>
      </c>
      <c r="F18" s="25">
        <v>80</v>
      </c>
      <c r="G18" s="25">
        <v>2</v>
      </c>
      <c r="H18" s="29">
        <f t="shared" si="0"/>
        <v>2.5000000000000001E-2</v>
      </c>
      <c r="I18" s="25">
        <v>5</v>
      </c>
      <c r="J18" s="24">
        <v>156</v>
      </c>
      <c r="K18" s="25">
        <v>103</v>
      </c>
      <c r="L18" s="25">
        <v>22</v>
      </c>
      <c r="M18" s="25">
        <v>0</v>
      </c>
      <c r="N18" s="25">
        <v>5</v>
      </c>
      <c r="O18" s="25">
        <v>0</v>
      </c>
      <c r="P18" s="25">
        <v>0</v>
      </c>
      <c r="Q18" s="25">
        <v>0</v>
      </c>
      <c r="R18" s="25">
        <v>102</v>
      </c>
      <c r="S18" s="25">
        <v>1</v>
      </c>
      <c r="T18" s="25">
        <v>0</v>
      </c>
      <c r="U18" s="25"/>
      <c r="V18" s="25"/>
      <c r="W18" s="25"/>
    </row>
    <row r="19" spans="1:23" ht="20.100000000000001" customHeight="1" x14ac:dyDescent="0.2">
      <c r="A19" s="23">
        <v>46282</v>
      </c>
      <c r="B19" s="24">
        <v>111</v>
      </c>
      <c r="C19" s="24">
        <v>35</v>
      </c>
      <c r="D19" s="25">
        <v>16.2</v>
      </c>
      <c r="E19" s="25">
        <v>83.8</v>
      </c>
      <c r="F19" s="25">
        <v>80</v>
      </c>
      <c r="G19" s="25">
        <v>5</v>
      </c>
      <c r="H19" s="29">
        <f t="shared" si="0"/>
        <v>6.25E-2</v>
      </c>
      <c r="I19" s="25">
        <v>0</v>
      </c>
      <c r="J19" s="24">
        <v>77</v>
      </c>
      <c r="K19" s="25">
        <v>22</v>
      </c>
      <c r="L19" s="25">
        <v>12</v>
      </c>
      <c r="M19" s="25">
        <v>0</v>
      </c>
      <c r="N19" s="25">
        <v>0</v>
      </c>
      <c r="O19" s="25">
        <v>0</v>
      </c>
      <c r="P19" s="25">
        <v>0</v>
      </c>
      <c r="Q19" s="25">
        <v>0</v>
      </c>
      <c r="R19" s="25">
        <v>68</v>
      </c>
      <c r="S19" s="25">
        <v>1</v>
      </c>
      <c r="T19" s="25">
        <v>0</v>
      </c>
      <c r="U19" s="25"/>
      <c r="V19" s="25"/>
      <c r="W19" s="25"/>
    </row>
    <row r="20" spans="1:23" ht="20.100000000000001" customHeight="1" x14ac:dyDescent="0.2">
      <c r="A20" s="23">
        <v>46283</v>
      </c>
      <c r="B20" s="24">
        <v>82</v>
      </c>
      <c r="C20" s="24">
        <v>28</v>
      </c>
      <c r="D20" s="25">
        <v>11</v>
      </c>
      <c r="E20" s="25">
        <v>89</v>
      </c>
      <c r="F20" s="25">
        <v>80</v>
      </c>
      <c r="G20" s="25">
        <v>3</v>
      </c>
      <c r="H20" s="29">
        <f t="shared" si="0"/>
        <v>3.7499999999999999E-2</v>
      </c>
      <c r="I20" s="25">
        <v>0</v>
      </c>
      <c r="J20" s="24">
        <v>53</v>
      </c>
      <c r="K20" s="25">
        <v>18</v>
      </c>
      <c r="L20" s="25">
        <v>11</v>
      </c>
      <c r="M20" s="25">
        <v>0</v>
      </c>
      <c r="N20" s="25">
        <v>0</v>
      </c>
      <c r="O20" s="25">
        <v>0</v>
      </c>
      <c r="P20" s="25">
        <v>0</v>
      </c>
      <c r="Q20" s="25">
        <v>0</v>
      </c>
      <c r="R20" s="25">
        <v>55</v>
      </c>
      <c r="S20" s="25">
        <v>0</v>
      </c>
      <c r="T20" s="25">
        <v>0</v>
      </c>
      <c r="U20" s="25"/>
      <c r="V20" s="25"/>
      <c r="W20" s="25"/>
    </row>
    <row r="21" spans="1:23" ht="20.100000000000001" customHeight="1" x14ac:dyDescent="0.2">
      <c r="A21" s="23">
        <v>46284</v>
      </c>
      <c r="B21" s="24">
        <v>306</v>
      </c>
      <c r="C21" s="24">
        <v>162</v>
      </c>
      <c r="D21" s="25">
        <v>54.6</v>
      </c>
      <c r="E21" s="25">
        <v>45.4</v>
      </c>
      <c r="F21" s="25">
        <v>80</v>
      </c>
      <c r="G21" s="25">
        <v>0</v>
      </c>
      <c r="H21" s="29">
        <f t="shared" si="0"/>
        <v>0</v>
      </c>
      <c r="I21" s="25">
        <v>3</v>
      </c>
      <c r="J21" s="24">
        <v>205</v>
      </c>
      <c r="K21" s="25">
        <v>74</v>
      </c>
      <c r="L21" s="25">
        <v>27</v>
      </c>
      <c r="M21" s="25">
        <v>0</v>
      </c>
      <c r="N21" s="25">
        <v>3</v>
      </c>
      <c r="O21" s="25">
        <v>0</v>
      </c>
      <c r="P21" s="25">
        <v>0</v>
      </c>
      <c r="Q21" s="25">
        <v>0</v>
      </c>
      <c r="R21" s="25">
        <v>110</v>
      </c>
      <c r="S21" s="25">
        <v>1</v>
      </c>
      <c r="T21" s="25">
        <v>0</v>
      </c>
      <c r="U21" s="25"/>
      <c r="V21" s="25"/>
      <c r="W21" s="25"/>
    </row>
    <row r="22" spans="1:23" ht="20.100000000000001" customHeight="1" x14ac:dyDescent="0.2">
      <c r="A22" s="23">
        <v>46285</v>
      </c>
      <c r="B22" s="24">
        <v>845</v>
      </c>
      <c r="C22" s="24">
        <v>560</v>
      </c>
      <c r="D22" s="25">
        <v>77.599999999999994</v>
      </c>
      <c r="E22" s="25">
        <v>22.4</v>
      </c>
      <c r="F22" s="25">
        <v>80</v>
      </c>
      <c r="G22" s="25">
        <v>-3</v>
      </c>
      <c r="H22" s="29">
        <f t="shared" si="0"/>
        <v>-3.7499999999999999E-2</v>
      </c>
      <c r="I22" s="25">
        <v>14</v>
      </c>
      <c r="J22" s="24">
        <v>706</v>
      </c>
      <c r="K22" s="25">
        <v>112</v>
      </c>
      <c r="L22" s="25">
        <v>24</v>
      </c>
      <c r="M22" s="25">
        <v>0</v>
      </c>
      <c r="N22" s="25">
        <v>13</v>
      </c>
      <c r="O22" s="25">
        <v>1</v>
      </c>
      <c r="P22" s="25">
        <v>0</v>
      </c>
      <c r="Q22" s="25">
        <v>0</v>
      </c>
      <c r="R22" s="25">
        <v>171</v>
      </c>
      <c r="S22" s="25">
        <v>1</v>
      </c>
      <c r="T22" s="25">
        <v>0</v>
      </c>
      <c r="U22" s="25"/>
      <c r="V22" s="25"/>
      <c r="W22" s="25"/>
    </row>
    <row r="23" spans="1:23" ht="20.100000000000001" customHeight="1" x14ac:dyDescent="0.2">
      <c r="A23" s="23">
        <v>46286</v>
      </c>
      <c r="B23" s="24">
        <v>1266</v>
      </c>
      <c r="C23" s="24">
        <v>687</v>
      </c>
      <c r="D23" s="25">
        <v>82.6</v>
      </c>
      <c r="E23" s="25">
        <v>17.399999999999999</v>
      </c>
      <c r="F23" s="25">
        <v>80</v>
      </c>
      <c r="G23" s="25">
        <v>-7</v>
      </c>
      <c r="H23" s="29">
        <f t="shared" si="0"/>
        <v>-8.7499999999999994E-2</v>
      </c>
      <c r="I23" s="25">
        <v>21</v>
      </c>
      <c r="J23" s="24">
        <v>1025</v>
      </c>
      <c r="K23" s="25">
        <v>207</v>
      </c>
      <c r="L23" s="25">
        <v>31</v>
      </c>
      <c r="M23" s="25">
        <v>0</v>
      </c>
      <c r="N23" s="25">
        <v>17</v>
      </c>
      <c r="O23" s="25">
        <v>4</v>
      </c>
      <c r="P23" s="25">
        <v>0</v>
      </c>
      <c r="Q23" s="25">
        <v>0</v>
      </c>
      <c r="R23" s="25">
        <v>169</v>
      </c>
      <c r="S23" s="25">
        <v>2</v>
      </c>
      <c r="T23" s="25">
        <v>0</v>
      </c>
      <c r="U23" s="25"/>
      <c r="V23" s="25"/>
      <c r="W23" s="25"/>
    </row>
    <row r="24" spans="1:23" ht="20.100000000000001" customHeight="1" x14ac:dyDescent="0.2">
      <c r="A24" s="23">
        <v>46287</v>
      </c>
      <c r="B24" s="24">
        <v>3362</v>
      </c>
      <c r="C24" s="24">
        <v>683</v>
      </c>
      <c r="D24" s="25">
        <v>93.7</v>
      </c>
      <c r="E24" s="25">
        <v>6.3</v>
      </c>
      <c r="F24" s="25">
        <v>80</v>
      </c>
      <c r="G24" s="25">
        <v>-5</v>
      </c>
      <c r="H24" s="29">
        <f t="shared" si="0"/>
        <v>-6.25E-2</v>
      </c>
      <c r="I24" s="25">
        <v>20</v>
      </c>
      <c r="J24" s="24">
        <v>3125</v>
      </c>
      <c r="K24" s="25">
        <v>199</v>
      </c>
      <c r="L24" s="25">
        <v>38</v>
      </c>
      <c r="M24" s="25">
        <v>0</v>
      </c>
      <c r="N24" s="25">
        <v>17</v>
      </c>
      <c r="O24" s="25">
        <v>3</v>
      </c>
      <c r="P24" s="25">
        <v>0</v>
      </c>
      <c r="Q24" s="25">
        <v>0</v>
      </c>
      <c r="R24" s="25">
        <v>165</v>
      </c>
      <c r="S24" s="25">
        <v>2</v>
      </c>
      <c r="T24" s="25">
        <v>0</v>
      </c>
      <c r="U24" s="25"/>
      <c r="V24" s="25"/>
      <c r="W24" s="25"/>
    </row>
    <row r="25" spans="1:23" ht="20.100000000000001" customHeight="1" x14ac:dyDescent="0.2">
      <c r="A25" s="23">
        <v>46288</v>
      </c>
      <c r="B25" s="24">
        <v>3970</v>
      </c>
      <c r="C25" s="24">
        <v>875</v>
      </c>
      <c r="D25" s="25">
        <v>83.1</v>
      </c>
      <c r="E25" s="25">
        <v>16.899999999999999</v>
      </c>
      <c r="F25" s="25">
        <v>80</v>
      </c>
      <c r="G25" s="25">
        <v>-3</v>
      </c>
      <c r="H25" s="29">
        <f t="shared" si="0"/>
        <v>-3.7499999999999999E-2</v>
      </c>
      <c r="I25" s="25">
        <v>19</v>
      </c>
      <c r="J25" s="24">
        <v>3349</v>
      </c>
      <c r="K25" s="25">
        <v>587</v>
      </c>
      <c r="L25" s="25">
        <v>34</v>
      </c>
      <c r="M25" s="25">
        <v>0</v>
      </c>
      <c r="N25" s="25">
        <v>17</v>
      </c>
      <c r="O25" s="25">
        <v>2</v>
      </c>
      <c r="P25" s="25">
        <v>0</v>
      </c>
      <c r="Q25" s="25">
        <v>0</v>
      </c>
      <c r="R25" s="25">
        <v>173</v>
      </c>
      <c r="S25" s="25">
        <v>1</v>
      </c>
      <c r="T25" s="25">
        <v>0</v>
      </c>
      <c r="U25" s="25"/>
      <c r="V25" s="25"/>
      <c r="W25" s="25"/>
    </row>
    <row r="26" spans="1:23" ht="20.100000000000001" customHeight="1" x14ac:dyDescent="0.2">
      <c r="A26" s="23">
        <v>46289</v>
      </c>
      <c r="B26" s="24">
        <v>5262</v>
      </c>
      <c r="C26" s="24">
        <v>3025</v>
      </c>
      <c r="D26" s="25">
        <v>39.799999999999997</v>
      </c>
      <c r="E26" s="25">
        <v>60.2</v>
      </c>
      <c r="F26" s="25">
        <v>80</v>
      </c>
      <c r="G26" s="25">
        <v>1</v>
      </c>
      <c r="H26" s="29">
        <f t="shared" si="0"/>
        <v>1.2500000000000001E-2</v>
      </c>
      <c r="I26" s="25">
        <v>54</v>
      </c>
      <c r="J26" s="24">
        <v>3711</v>
      </c>
      <c r="K26" s="25">
        <v>1526</v>
      </c>
      <c r="L26" s="25">
        <v>25</v>
      </c>
      <c r="M26" s="25">
        <v>0</v>
      </c>
      <c r="N26" s="25">
        <v>36</v>
      </c>
      <c r="O26" s="25">
        <v>18</v>
      </c>
      <c r="P26" s="25">
        <v>0</v>
      </c>
      <c r="Q26" s="25">
        <v>0</v>
      </c>
      <c r="R26" s="25">
        <v>200</v>
      </c>
      <c r="S26" s="25">
        <v>1</v>
      </c>
      <c r="T26" s="25">
        <v>0</v>
      </c>
      <c r="U26" s="25"/>
      <c r="V26" s="25"/>
      <c r="W26" s="25"/>
    </row>
    <row r="27" spans="1:23" ht="20.100000000000001" customHeight="1" x14ac:dyDescent="0.2">
      <c r="A27" s="23">
        <v>46290</v>
      </c>
      <c r="B27" s="24">
        <v>4350</v>
      </c>
      <c r="C27" s="24">
        <v>2821</v>
      </c>
      <c r="D27" s="25">
        <v>36.6</v>
      </c>
      <c r="E27" s="25">
        <v>63.4</v>
      </c>
      <c r="F27" s="25">
        <v>120</v>
      </c>
      <c r="G27" s="25">
        <v>-1</v>
      </c>
      <c r="H27" s="29">
        <f t="shared" si="0"/>
        <v>-8.3333333333333332E-3</v>
      </c>
      <c r="I27" s="25">
        <v>49</v>
      </c>
      <c r="J27" s="24">
        <v>3482</v>
      </c>
      <c r="K27" s="25">
        <v>863</v>
      </c>
      <c r="L27" s="25">
        <v>5</v>
      </c>
      <c r="M27" s="25">
        <v>0</v>
      </c>
      <c r="N27" s="25">
        <v>37</v>
      </c>
      <c r="O27" s="25">
        <v>12</v>
      </c>
      <c r="P27" s="25">
        <v>0</v>
      </c>
      <c r="Q27" s="25">
        <v>0</v>
      </c>
      <c r="R27" s="25">
        <v>159</v>
      </c>
      <c r="S27" s="25">
        <v>0</v>
      </c>
      <c r="T27" s="25">
        <v>0</v>
      </c>
      <c r="U27" s="25"/>
      <c r="V27" s="25"/>
      <c r="W27" s="25"/>
    </row>
    <row r="28" spans="1:23" ht="20.100000000000001" customHeight="1" x14ac:dyDescent="0.2">
      <c r="A28" s="23">
        <v>46291</v>
      </c>
      <c r="B28" s="24">
        <v>1451</v>
      </c>
      <c r="C28" s="24">
        <v>579</v>
      </c>
      <c r="D28" s="25">
        <v>81.099999999999994</v>
      </c>
      <c r="E28" s="25">
        <v>18.899999999999999</v>
      </c>
      <c r="F28" s="25">
        <v>120</v>
      </c>
      <c r="G28" s="25">
        <v>-9</v>
      </c>
      <c r="H28" s="29">
        <f t="shared" si="0"/>
        <v>-7.4999999999999997E-2</v>
      </c>
      <c r="I28" s="25">
        <v>6</v>
      </c>
      <c r="J28" s="24">
        <v>909</v>
      </c>
      <c r="K28" s="25">
        <v>442</v>
      </c>
      <c r="L28" s="25">
        <v>97</v>
      </c>
      <c r="M28" s="25">
        <v>0</v>
      </c>
      <c r="N28" s="25">
        <v>3</v>
      </c>
      <c r="O28" s="25">
        <v>2</v>
      </c>
      <c r="P28" s="25">
        <v>1</v>
      </c>
      <c r="Q28" s="25">
        <v>0</v>
      </c>
      <c r="R28" s="25">
        <v>87</v>
      </c>
      <c r="S28" s="25">
        <v>1</v>
      </c>
      <c r="T28" s="25">
        <v>0</v>
      </c>
      <c r="U28" s="25"/>
      <c r="V28" s="25"/>
      <c r="W28" s="25"/>
    </row>
    <row r="29" spans="1:23" ht="20.100000000000001" customHeight="1" x14ac:dyDescent="0.2">
      <c r="A29" s="23">
        <v>46292</v>
      </c>
      <c r="B29" s="24">
        <v>5004</v>
      </c>
      <c r="C29" s="24">
        <v>2645</v>
      </c>
      <c r="D29" s="25">
        <v>47.1</v>
      </c>
      <c r="E29" s="25">
        <v>52.9</v>
      </c>
      <c r="F29" s="25">
        <v>120</v>
      </c>
      <c r="G29" s="25">
        <v>-2</v>
      </c>
      <c r="H29" s="29">
        <f t="shared" si="0"/>
        <v>-1.6666666666666666E-2</v>
      </c>
      <c r="I29" s="25">
        <v>41</v>
      </c>
      <c r="J29" s="24">
        <v>2677</v>
      </c>
      <c r="K29" s="25">
        <v>2249</v>
      </c>
      <c r="L29" s="25">
        <v>75</v>
      </c>
      <c r="M29" s="25">
        <v>0</v>
      </c>
      <c r="N29" s="25">
        <v>23</v>
      </c>
      <c r="O29" s="25">
        <v>18</v>
      </c>
      <c r="P29" s="25">
        <v>0</v>
      </c>
      <c r="Q29" s="25">
        <v>0</v>
      </c>
      <c r="R29" s="25">
        <v>92</v>
      </c>
      <c r="S29" s="25">
        <v>5</v>
      </c>
      <c r="T29" s="25">
        <v>0</v>
      </c>
      <c r="U29" s="25"/>
      <c r="V29" s="25"/>
      <c r="W29" s="25"/>
    </row>
    <row r="30" spans="1:23" ht="20.100000000000001" customHeight="1" x14ac:dyDescent="0.2">
      <c r="A30" s="23">
        <v>46293</v>
      </c>
      <c r="B30" s="24">
        <v>6450</v>
      </c>
      <c r="C30" s="24">
        <v>3473</v>
      </c>
      <c r="D30" s="25">
        <v>42.7</v>
      </c>
      <c r="E30" s="25">
        <v>57.3</v>
      </c>
      <c r="F30" s="25">
        <v>120</v>
      </c>
      <c r="G30" s="25">
        <v>1</v>
      </c>
      <c r="H30" s="29">
        <f t="shared" si="0"/>
        <v>8.3333333333333332E-3</v>
      </c>
      <c r="I30" s="25">
        <v>70</v>
      </c>
      <c r="J30" s="24">
        <v>4077</v>
      </c>
      <c r="K30" s="25">
        <v>1532</v>
      </c>
      <c r="L30" s="25">
        <v>840</v>
      </c>
      <c r="M30" s="25">
        <v>0</v>
      </c>
      <c r="N30" s="25">
        <v>39</v>
      </c>
      <c r="O30" s="25">
        <v>16</v>
      </c>
      <c r="P30" s="25">
        <v>15</v>
      </c>
      <c r="Q30" s="25">
        <v>0</v>
      </c>
      <c r="R30" s="25">
        <v>126</v>
      </c>
      <c r="S30" s="25">
        <v>6</v>
      </c>
      <c r="T30" s="25">
        <v>0</v>
      </c>
      <c r="U30" s="25"/>
      <c r="V30" s="25"/>
      <c r="W30" s="25"/>
    </row>
    <row r="31" spans="1:23" ht="20.100000000000001" customHeight="1" x14ac:dyDescent="0.2">
      <c r="A31" s="23">
        <v>46294</v>
      </c>
      <c r="B31" s="24">
        <v>4584</v>
      </c>
      <c r="C31" s="24">
        <v>2509</v>
      </c>
      <c r="D31" s="25">
        <v>51.3</v>
      </c>
      <c r="E31" s="25">
        <v>48.7</v>
      </c>
      <c r="F31" s="27">
        <v>120</v>
      </c>
      <c r="G31" s="25">
        <v>-4</v>
      </c>
      <c r="H31" s="29">
        <f t="shared" si="0"/>
        <v>-3.3333333333333333E-2</v>
      </c>
      <c r="I31" s="25">
        <v>49</v>
      </c>
      <c r="J31" s="24">
        <v>2729</v>
      </c>
      <c r="K31" s="25">
        <v>1517</v>
      </c>
      <c r="L31" s="25">
        <v>337</v>
      </c>
      <c r="M31" s="25">
        <v>0</v>
      </c>
      <c r="N31" s="25">
        <v>25</v>
      </c>
      <c r="O31" s="25">
        <v>24</v>
      </c>
      <c r="P31" s="25">
        <v>0</v>
      </c>
      <c r="Q31" s="25">
        <v>0</v>
      </c>
      <c r="R31" s="25">
        <v>131</v>
      </c>
      <c r="S31" s="25">
        <v>4</v>
      </c>
      <c r="T31" s="25">
        <v>0</v>
      </c>
      <c r="U31" s="25"/>
      <c r="V31" s="25"/>
      <c r="W31" s="25"/>
    </row>
    <row r="32" spans="1:23" s="27" customFormat="1" ht="20.100000000000001" customHeight="1" x14ac:dyDescent="0.2">
      <c r="A32" s="23">
        <v>46295</v>
      </c>
      <c r="B32" s="26">
        <v>3501</v>
      </c>
      <c r="C32" s="26">
        <v>2153</v>
      </c>
      <c r="D32" s="27">
        <v>53.2</v>
      </c>
      <c r="E32" s="27">
        <v>46.8</v>
      </c>
      <c r="F32" s="27">
        <v>120</v>
      </c>
      <c r="G32" s="27">
        <v>5</v>
      </c>
      <c r="H32" s="29">
        <f t="shared" si="0"/>
        <v>4.1666666666666664E-2</v>
      </c>
      <c r="I32" s="27">
        <v>32</v>
      </c>
      <c r="J32" s="26">
        <v>1804</v>
      </c>
      <c r="K32" s="27">
        <v>1454</v>
      </c>
      <c r="L32" s="27">
        <v>243</v>
      </c>
      <c r="M32" s="27">
        <v>0</v>
      </c>
      <c r="N32" s="27">
        <v>20</v>
      </c>
      <c r="O32" s="27">
        <v>12</v>
      </c>
      <c r="P32" s="27">
        <v>0</v>
      </c>
      <c r="Q32" s="27">
        <v>0</v>
      </c>
      <c r="R32" s="27">
        <v>128</v>
      </c>
      <c r="S32" s="27">
        <v>3</v>
      </c>
      <c r="T32" s="27">
        <v>0</v>
      </c>
    </row>
    <row r="33" spans="8:8" ht="14.25" x14ac:dyDescent="0.2">
      <c r="H33" s="29"/>
    </row>
  </sheetData>
  <mergeCells count="8">
    <mergeCell ref="W1:W2"/>
    <mergeCell ref="V1:V2"/>
    <mergeCell ref="U1:U2"/>
    <mergeCell ref="B1:I1"/>
    <mergeCell ref="J1:M1"/>
    <mergeCell ref="N1:Q1"/>
    <mergeCell ref="R1:T1"/>
    <mergeCell ref="A1:A2"/>
  </mergeCells>
  <phoneticPr fontId="10"/>
  <pageMargins left="0.75" right="0.75" top="1" bottom="1" header="0.5" footer="0.5"/>
  <pageSetup paperSize="9" scale="6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f6a8b26-5421-4fb3-a8cc-7b1db9a0b4b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000F0EF6801BC4BA65A773387DFC991" ma:contentTypeVersion="13" ma:contentTypeDescription="新しいドキュメントを作成します。" ma:contentTypeScope="" ma:versionID="c47b257acaa6ca5baca129ac2215e373">
  <xsd:schema xmlns:xsd="http://www.w3.org/2001/XMLSchema" xmlns:xs="http://www.w3.org/2001/XMLSchema" xmlns:p="http://schemas.microsoft.com/office/2006/metadata/properties" xmlns:ns3="4f6a8b26-5421-4fb3-a8cc-7b1db9a0b4bf" targetNamespace="http://schemas.microsoft.com/office/2006/metadata/properties" ma:root="true" ma:fieldsID="d60c4527c86aaccdc0fc933a746a78e9" ns3:_="">
    <xsd:import namespace="4f6a8b26-5421-4fb3-a8cc-7b1db9a0b4b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LengthInSeconds" minOccurs="0"/>
                <xsd:element ref="ns3:MediaServiceBillingMetadata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6a8b26-5421-4fb3-a8cc-7b1db9a0b4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C7A257-0FBA-4694-8D5A-7BAB35082C7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73542F-3E2D-466B-9B60-9D5BEFA8AB2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4f6a8b26-5421-4fb3-a8cc-7b1db9a0b4bf"/>
    <ds:schemaRef ds:uri="http://schemas.microsoft.com/office/infopath/2007/PartnerControls"/>
    <ds:schemaRef ds:uri="http://purl.org/dc/terms/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796C532-69A9-4707-BCA8-92E04E143B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6a8b26-5421-4fb3-a8cc-7b1db9a0b4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6</vt:i4>
      </vt:variant>
    </vt:vector>
  </HeadingPairs>
  <TitlesOfParts>
    <vt:vector size="18" baseType="lpstr">
      <vt:lpstr>概要サマリー</vt:lpstr>
      <vt:lpstr>月別集計</vt:lpstr>
      <vt:lpstr>曜日別集計</vt:lpstr>
      <vt:lpstr>週次推移</vt:lpstr>
      <vt:lpstr>相関係数</vt:lpstr>
      <vt:lpstr>リールログ</vt:lpstr>
      <vt:lpstr>4月</vt:lpstr>
      <vt:lpstr>5月</vt:lpstr>
      <vt:lpstr>6月</vt:lpstr>
      <vt:lpstr>7月</vt:lpstr>
      <vt:lpstr>8月</vt:lpstr>
      <vt:lpstr>9月</vt:lpstr>
      <vt:lpstr>'4月'!Print_Area</vt:lpstr>
      <vt:lpstr>'5月'!Print_Area</vt:lpstr>
      <vt:lpstr>'6月'!Print_Area</vt:lpstr>
      <vt:lpstr>'7月'!Print_Area</vt:lpstr>
      <vt:lpstr>'8月'!Print_Area</vt:lpstr>
      <vt:lpstr>'9月'!Print_Area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井藤　陸斗</cp:lastModifiedBy>
  <cp:lastPrinted>2026-10-06T02:20:29Z</cp:lastPrinted>
  <dcterms:created xsi:type="dcterms:W3CDTF">2026-10-02T08:01:00Z</dcterms:created>
  <dcterms:modified xsi:type="dcterms:W3CDTF">2026-10-06T04:48:40Z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0x010100E000F0EF6801BC4BA65A773387DFC991</vt:lpwstr>
  </property>
</Properties>
</file>